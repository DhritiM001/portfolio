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trlProps/ctrlProp7.xml" ContentType="application/vnd.ms-excel.controlproperties+xml"/>
  <Override PartName="/xl/drawings/drawing4.xml" ContentType="application/vnd.openxmlformats-officedocument.drawing+xml"/>
  <Override PartName="/xl/ctrlProps/ctrlProp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hriti Malik\OneDrive\Desktop\"/>
    </mc:Choice>
  </mc:AlternateContent>
  <xr:revisionPtr revIDLastSave="0" documentId="8_{5C7179A4-4263-470B-ABCE-D1A846FA5A92}" xr6:coauthVersionLast="47" xr6:coauthVersionMax="47" xr10:uidLastSave="{00000000-0000-0000-0000-000000000000}"/>
  <bookViews>
    <workbookView xWindow="-110" yWindow="-110" windowWidth="19420" windowHeight="11020" activeTab="4" xr2:uid="{00000000-000D-0000-FFFF-FFFF00000000}"/>
  </bookViews>
  <sheets>
    <sheet name="Cover Page" sheetId="2" r:id="rId1"/>
    <sheet name="Health Insurance" sheetId="1" r:id="rId2"/>
    <sheet name="Life Insurance" sheetId="6" r:id="rId3"/>
    <sheet name="Motor Insurance" sheetId="7" r:id="rId4"/>
    <sheet name="Home Insurance" sheetId="5" r:id="rId5"/>
  </sheets>
  <definedNames>
    <definedName name="Age">#REF!</definedName>
    <definedName name="Brand">#REF!</definedName>
    <definedName name="Car_age">#REF!</definedName>
    <definedName name="Elantra">#REF!</definedName>
    <definedName name="Fuel_Type">#REF!</definedName>
    <definedName name="Honda">#REF!</definedName>
    <definedName name="Hyundai">#REF!</definedName>
    <definedName name="Mahindra">#REF!</definedName>
    <definedName name="Manufacturing_Year">#REF!</definedName>
    <definedName name="Santro">#REF!</definedName>
    <definedName name="Sonata">#REF!</definedName>
    <definedName name="TATA">#REF!</definedName>
    <definedName name="Venue">#REF!</definedName>
    <definedName name="XUV500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3" i="5" l="1"/>
  <c r="E26" i="5" s="1"/>
  <c r="N9" i="5"/>
  <c r="N13" i="5" s="1"/>
  <c r="N15" i="5" s="1"/>
  <c r="S5" i="5" s="1"/>
  <c r="D5" i="5"/>
  <c r="D7" i="5" s="1"/>
  <c r="K7" i="5" l="1"/>
  <c r="E8" i="5"/>
  <c r="E7" i="5"/>
  <c r="K11" i="5"/>
  <c r="K5" i="5"/>
  <c r="D9" i="5"/>
  <c r="E15" i="5"/>
  <c r="E20" i="5" s="1"/>
  <c r="S7" i="5" s="1"/>
  <c r="S9" i="5" s="1"/>
  <c r="D11" i="5"/>
  <c r="H7" i="5"/>
  <c r="G9" i="5"/>
  <c r="I20" i="7"/>
  <c r="I22" i="7"/>
  <c r="I19" i="7"/>
  <c r="I24" i="7"/>
  <c r="I21" i="7" l="1"/>
  <c r="I23" i="7" s="1"/>
  <c r="I25" i="7" s="1"/>
  <c r="I26" i="7" s="1"/>
  <c r="M11" i="6" l="1"/>
  <c r="P10" i="6" s="1"/>
  <c r="M15" i="6"/>
  <c r="Q28" i="6"/>
  <c r="Q30" i="6"/>
  <c r="Q32" i="6" s="1"/>
  <c r="P44" i="6"/>
  <c r="Q12" i="6" l="1"/>
  <c r="Q11" i="6"/>
  <c r="L30" i="6" s="1"/>
  <c r="E18" i="7" l="1"/>
  <c r="L32" i="6"/>
  <c r="P43" i="6"/>
  <c r="P45" i="6" s="1"/>
  <c r="O9" i="1" l="1"/>
  <c r="O11" i="1" l="1"/>
  <c r="O10" i="1"/>
  <c r="O12" i="1" l="1"/>
  <c r="O13" i="1" s="1"/>
</calcChain>
</file>

<file path=xl/sharedStrings.xml><?xml version="1.0" encoding="utf-8"?>
<sst xmlns="http://schemas.openxmlformats.org/spreadsheetml/2006/main" count="177" uniqueCount="145">
  <si>
    <t>Male</t>
  </si>
  <si>
    <t>Female</t>
  </si>
  <si>
    <t>Name</t>
  </si>
  <si>
    <t>Gender</t>
  </si>
  <si>
    <t>MEDICAL/ HEALTH INSURANCE</t>
  </si>
  <si>
    <t>Age</t>
  </si>
  <si>
    <t>City</t>
  </si>
  <si>
    <t>Do you take any daily medications?</t>
  </si>
  <si>
    <t>Yes</t>
  </si>
  <si>
    <t>No</t>
  </si>
  <si>
    <t>Cover amount</t>
  </si>
  <si>
    <t>5 L</t>
  </si>
  <si>
    <t>25 L</t>
  </si>
  <si>
    <t>50 L</t>
  </si>
  <si>
    <t>1 Cr.</t>
  </si>
  <si>
    <t>Policy Period (in years)</t>
  </si>
  <si>
    <t>Premium per annum</t>
  </si>
  <si>
    <t>(-) Discount (Policy period)</t>
  </si>
  <si>
    <t xml:space="preserve">(+) Medication </t>
  </si>
  <si>
    <t>Final Premium ( Per annum)</t>
  </si>
  <si>
    <t>Mounthly Premium</t>
  </si>
  <si>
    <t>Contact No.</t>
  </si>
  <si>
    <t>Dhrasti Bafna</t>
  </si>
  <si>
    <t>Dhriti Malik</t>
  </si>
  <si>
    <t>Dhyaan Lilani</t>
  </si>
  <si>
    <t>Diya Lunia</t>
  </si>
  <si>
    <t>A017</t>
  </si>
  <si>
    <t>A018</t>
  </si>
  <si>
    <t>A019</t>
  </si>
  <si>
    <t>A020</t>
  </si>
  <si>
    <r>
      <rPr>
        <b/>
        <u val="double"/>
        <sz val="22"/>
        <color theme="1"/>
        <rFont val="Bahnschrift SemiBold"/>
        <family val="2"/>
      </rPr>
      <t xml:space="preserve">Financial Model For Insurance
</t>
    </r>
    <r>
      <rPr>
        <sz val="18"/>
        <color theme="1"/>
        <rFont val="Bahnschrift SemiBold"/>
        <family val="2"/>
      </rPr>
      <t xml:space="preserve">
</t>
    </r>
    <r>
      <rPr>
        <i/>
        <sz val="16"/>
        <color theme="1"/>
        <rFont val="Bahnschrift SemiBold"/>
        <family val="2"/>
      </rPr>
      <t>Financial Modeling Project
S.Y.B S.c Finance - A
Admin Group - 4</t>
    </r>
  </si>
  <si>
    <t>Health/Medical Insurance</t>
  </si>
  <si>
    <t>Motor Insurance</t>
  </si>
  <si>
    <t>Home Insurance</t>
  </si>
  <si>
    <t>Life Insurance 
(Unit Linked Insurance Plan)</t>
  </si>
  <si>
    <t>Premium</t>
  </si>
  <si>
    <t>Enter Amount Here</t>
  </si>
  <si>
    <t>Yearly</t>
  </si>
  <si>
    <t>(Minimum Amount Invested should be 30000p.a.)</t>
  </si>
  <si>
    <t>% Invested</t>
  </si>
  <si>
    <t>Investment Strategy</t>
  </si>
  <si>
    <t>Debt</t>
  </si>
  <si>
    <t>Equtiy</t>
  </si>
  <si>
    <t>Policy Term</t>
  </si>
  <si>
    <t>Years</t>
  </si>
  <si>
    <t>Contact Number</t>
  </si>
  <si>
    <t>Invested Premium</t>
  </si>
  <si>
    <t>Choose Your Invesment Strategy Here</t>
  </si>
  <si>
    <t>Return %</t>
  </si>
  <si>
    <t>Debt Funds</t>
  </si>
  <si>
    <t>Equity Funds</t>
  </si>
  <si>
    <t>Strategy No.</t>
  </si>
  <si>
    <t>On Maturity</t>
  </si>
  <si>
    <t>Under fixed policy</t>
  </si>
  <si>
    <t>Choose your Personalized Investment Portfolio</t>
  </si>
  <si>
    <t>OR</t>
  </si>
  <si>
    <t>Equity</t>
  </si>
  <si>
    <t>Maturity Amount</t>
  </si>
  <si>
    <t>On Death</t>
  </si>
  <si>
    <t>Years of Policy Completed</t>
  </si>
  <si>
    <t>Higher of :-</t>
  </si>
  <si>
    <t>Value of Investment</t>
  </si>
  <si>
    <t>Money Assured</t>
  </si>
  <si>
    <t xml:space="preserve">Money Received </t>
  </si>
  <si>
    <t>Third-Party Plan</t>
  </si>
  <si>
    <t>Premium Amount</t>
  </si>
  <si>
    <t>Car Insurance Plan</t>
  </si>
  <si>
    <t>Have you made claims in previous years?</t>
  </si>
  <si>
    <t>6 Months to 1 Year</t>
  </si>
  <si>
    <t>Age of the car</t>
  </si>
  <si>
    <t>Fuel Type</t>
  </si>
  <si>
    <t>Model</t>
  </si>
  <si>
    <t>Hyundai</t>
  </si>
  <si>
    <t>Brand</t>
  </si>
  <si>
    <t>45-60</t>
  </si>
  <si>
    <t xml:space="preserve">Deev Lunia </t>
  </si>
  <si>
    <t>Net premium</t>
  </si>
  <si>
    <t>Less taxes</t>
  </si>
  <si>
    <t>Premium based on age</t>
  </si>
  <si>
    <t>Post claim bonus amount</t>
  </si>
  <si>
    <t>No claim bonus</t>
  </si>
  <si>
    <t>Insured Declared Value</t>
  </si>
  <si>
    <t>Depreciation</t>
  </si>
  <si>
    <t>Ex show room rate</t>
  </si>
  <si>
    <t>CALCULATION</t>
  </si>
  <si>
    <t>tata</t>
  </si>
  <si>
    <t>mahindra</t>
  </si>
  <si>
    <t>4 Years to 5 Years</t>
  </si>
  <si>
    <t>hyundai</t>
  </si>
  <si>
    <t>3 Years to 4 Years</t>
  </si>
  <si>
    <t>honda</t>
  </si>
  <si>
    <t>2 Years to 3 Years</t>
  </si>
  <si>
    <t>1 Year to 2 Years</t>
  </si>
  <si>
    <t>35-45</t>
  </si>
  <si>
    <t>Upto 6 Months</t>
  </si>
  <si>
    <t>NO</t>
  </si>
  <si>
    <t>25-35</t>
  </si>
  <si>
    <t>Claim Free Year Bonus (%)</t>
  </si>
  <si>
    <t>Percentage of depriciation</t>
  </si>
  <si>
    <t>18-25</t>
  </si>
  <si>
    <t>Civic</t>
  </si>
  <si>
    <t>Altroz</t>
  </si>
  <si>
    <t>KUV 300</t>
  </si>
  <si>
    <t>Venue</t>
  </si>
  <si>
    <t>Honda</t>
  </si>
  <si>
    <t>CNG</t>
  </si>
  <si>
    <t>Brio</t>
  </si>
  <si>
    <t>Indigo</t>
  </si>
  <si>
    <t>XYLO</t>
  </si>
  <si>
    <t>Santro</t>
  </si>
  <si>
    <t>TATA</t>
  </si>
  <si>
    <t>Diesel</t>
  </si>
  <si>
    <t>Mobilio</t>
  </si>
  <si>
    <t>Indica</t>
  </si>
  <si>
    <t>XUV 300</t>
  </si>
  <si>
    <t>Sonata</t>
  </si>
  <si>
    <t>Mahindra</t>
  </si>
  <si>
    <r>
      <t>LIFE INSURANCE (</t>
    </r>
    <r>
      <rPr>
        <i/>
        <sz val="22"/>
        <color theme="1"/>
        <rFont val="Bahnschrift SemiCondensed"/>
        <family val="2"/>
      </rPr>
      <t>Unit Linked Insurance Plan)</t>
    </r>
  </si>
  <si>
    <t>CAR INSURANCE</t>
  </si>
  <si>
    <t xml:space="preserve">HOME INSURANCE </t>
  </si>
  <si>
    <t>Proposer's Details</t>
  </si>
  <si>
    <t>Premium Details</t>
  </si>
  <si>
    <t>Occurance of Incident</t>
  </si>
  <si>
    <t>Full Name</t>
  </si>
  <si>
    <t xml:space="preserve">Sum Insured </t>
  </si>
  <si>
    <t>Total Premium</t>
  </si>
  <si>
    <t>Sum Insured = Built-Up Area * Reconstruction Cost</t>
  </si>
  <si>
    <t>Maturity Benefit</t>
  </si>
  <si>
    <t>Communication Address</t>
  </si>
  <si>
    <t>E-mail</t>
  </si>
  <si>
    <t>Valuation of Home</t>
  </si>
  <si>
    <t>Final sum insured</t>
  </si>
  <si>
    <t>Choose your type of Home Insurance</t>
  </si>
  <si>
    <t>Building (Structure) and Household articles</t>
  </si>
  <si>
    <t>Cap is 80% of sum insured</t>
  </si>
  <si>
    <t>Term of the policy (Years)</t>
  </si>
  <si>
    <t xml:space="preserve">Total Premium Invested </t>
  </si>
  <si>
    <t xml:space="preserve">Data Table for Valuation of Home </t>
  </si>
  <si>
    <t>Growth Rate</t>
  </si>
  <si>
    <t>Inflation Rate</t>
  </si>
  <si>
    <t>Assumptions:</t>
  </si>
  <si>
    <t>It is assumed that the owner of the home building has the knowledge of the amount of rent generated</t>
  </si>
  <si>
    <t xml:space="preserve">It is assumed that the owner of the contents of the home, knows the value of the contents </t>
  </si>
  <si>
    <t>Home Building (Structure)</t>
  </si>
  <si>
    <t>Household Articles (Content)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</si>
</sst>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6" formatCode="&quot;₹&quot;\ #,##0;[Red]&quot;₹&quot;\ \-#,##0"/>
    <numFmt numFmtId="8" formatCode="&quot;₹&quot;\ #,##0.00;[Red]&quot;₹&quot;\ \-#,##0.00"/>
    <numFmt numFmtId="44" formatCode="_ &quot;₹&quot;\ * #,##0.00_ ;_ &quot;₹&quot;\ * \-#,##0.00_ ;_ &quot;₹&quot;\ * &quot;-&quot;??_ ;_ @_ "/>
    <numFmt numFmtId="164" formatCode="_ &quot;₹&quot;\ * #,##0_ ;_ &quot;₹&quot;\ * \-#,##0_ ;_ &quot;₹&quot;\ * &quot;-&quot;??_ ;_ @_ "/>
    <numFmt numFmtId="165" formatCode="0.0%"/>
  </numFmts>
  <fonts count="31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1"/>
      <name val="Bahnschrift SemiBold"/>
      <family val="2"/>
    </font>
    <font>
      <sz val="16"/>
      <color theme="1"/>
      <name val="Bahnschrift SemiBold"/>
      <family val="2"/>
    </font>
    <font>
      <sz val="11"/>
      <color theme="1"/>
      <name val="Bahnschrift SemiBold"/>
      <family val="2"/>
    </font>
    <font>
      <b/>
      <u val="double"/>
      <sz val="22"/>
      <color theme="1"/>
      <name val="Bahnschrift SemiBold"/>
      <family val="2"/>
    </font>
    <font>
      <i/>
      <sz val="16"/>
      <color theme="1"/>
      <name val="Bahnschrift SemiBold"/>
      <family val="2"/>
    </font>
    <font>
      <sz val="14"/>
      <color theme="1"/>
      <name val="Bahnschrift SemiCondensed"/>
      <family val="2"/>
    </font>
    <font>
      <sz val="16"/>
      <color theme="1"/>
      <name val="Bahnschrift SemiCondensed"/>
      <family val="2"/>
    </font>
    <font>
      <sz val="18"/>
      <color theme="1"/>
      <name val="Bahnschrift SemiCondensed"/>
      <family val="2"/>
    </font>
    <font>
      <u/>
      <sz val="11"/>
      <color theme="10"/>
      <name val="Calibri"/>
      <family val="2"/>
      <scheme val="minor"/>
    </font>
    <font>
      <sz val="8"/>
      <color rgb="FF000000"/>
      <name val="Segoe UI"/>
      <family val="2"/>
    </font>
    <font>
      <sz val="28"/>
      <color theme="1"/>
      <name val="Bahnschrift SemiCondensed"/>
      <family val="2"/>
    </font>
    <font>
      <sz val="11"/>
      <color theme="1"/>
      <name val="Bahnschrift SemiCondensed"/>
      <family val="2"/>
    </font>
    <font>
      <i/>
      <sz val="24"/>
      <color theme="1"/>
      <name val="Bahnschrift SemiCondensed"/>
      <family val="2"/>
    </font>
    <font>
      <i/>
      <sz val="22"/>
      <color theme="1"/>
      <name val="Bahnschrift SemiCondensed"/>
      <family val="2"/>
    </font>
    <font>
      <sz val="14"/>
      <name val="Bahnschrift SemiCondensed"/>
      <family val="2"/>
    </font>
    <font>
      <sz val="36"/>
      <color theme="1"/>
      <name val="Bahnschrift SemiCondensed"/>
      <family val="2"/>
    </font>
    <font>
      <sz val="16"/>
      <color rgb="FF24272C"/>
      <name val="Bahnschrift SemiCondensed"/>
      <family val="2"/>
    </font>
    <font>
      <sz val="14"/>
      <color rgb="FFFF0000"/>
      <name val="Calibri"/>
      <family val="2"/>
      <scheme val="minor"/>
    </font>
    <font>
      <sz val="14"/>
      <color theme="0"/>
      <name val="Calibri"/>
      <family val="2"/>
      <scheme val="minor"/>
    </font>
    <font>
      <b/>
      <sz val="22"/>
      <color theme="0"/>
      <name val="Roboto"/>
    </font>
    <font>
      <sz val="12"/>
      <color theme="1"/>
      <name val="Roboto"/>
    </font>
    <font>
      <b/>
      <sz val="14"/>
      <color theme="1"/>
      <name val="Roboto"/>
    </font>
    <font>
      <b/>
      <sz val="12"/>
      <color theme="1"/>
      <name val="Roboto"/>
    </font>
    <font>
      <sz val="12"/>
      <name val="Roboto"/>
    </font>
    <font>
      <sz val="13"/>
      <color theme="1"/>
      <name val="Roboto"/>
    </font>
    <font>
      <u/>
      <sz val="12"/>
      <name val="Roboto"/>
    </font>
    <font>
      <b/>
      <sz val="12"/>
      <color theme="0"/>
      <name val="Roboto"/>
    </font>
  </fonts>
  <fills count="10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-0.499984740745262"/>
        <bgColor indexed="64"/>
      </patternFill>
    </fill>
  </fills>
  <borders count="4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double">
        <color indexed="64"/>
      </right>
      <top/>
      <bottom/>
      <diagonal/>
    </border>
    <border>
      <left style="medium">
        <color indexed="64"/>
      </left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double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theme="0"/>
      </left>
      <right/>
      <top style="medium">
        <color theme="0"/>
      </top>
      <bottom/>
      <diagonal/>
    </border>
    <border>
      <left/>
      <right/>
      <top style="medium">
        <color theme="0"/>
      </top>
      <bottom/>
      <diagonal/>
    </border>
    <border>
      <left/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/>
      <top/>
      <bottom/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 style="double">
        <color indexed="64"/>
      </right>
      <top/>
      <bottom/>
      <diagonal/>
    </border>
    <border>
      <left style="medium">
        <color theme="0"/>
      </left>
      <right/>
      <top/>
      <bottom style="medium">
        <color theme="0"/>
      </bottom>
      <diagonal/>
    </border>
    <border>
      <left/>
      <right/>
      <top/>
      <bottom style="medium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theme="0"/>
      </left>
      <right/>
      <top style="medium">
        <color indexed="64"/>
      </top>
      <bottom/>
      <diagonal/>
    </border>
    <border>
      <left style="medium">
        <color theme="0"/>
      </left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4">
    <xf numFmtId="0" fontId="0" fillId="0" borderId="0"/>
    <xf numFmtId="9" fontId="3" fillId="0" borderId="0" applyFont="0" applyFill="0" applyBorder="0" applyAlignment="0" applyProtection="0"/>
    <xf numFmtId="0" fontId="12" fillId="0" borderId="0" applyNumberFormat="0" applyFill="0" applyBorder="0" applyAlignment="0" applyProtection="0"/>
    <xf numFmtId="44" fontId="3" fillId="0" borderId="0" applyFont="0" applyFill="0" applyBorder="0" applyAlignment="0" applyProtection="0"/>
  </cellStyleXfs>
  <cellXfs count="254">
    <xf numFmtId="0" fontId="0" fillId="0" borderId="0" xfId="0"/>
    <xf numFmtId="0" fontId="1" fillId="0" borderId="0" xfId="0" applyFont="1"/>
    <xf numFmtId="0" fontId="0" fillId="3" borderId="0" xfId="0" applyFill="1" applyBorder="1"/>
    <xf numFmtId="0" fontId="6" fillId="3" borderId="0" xfId="0" applyFont="1" applyFill="1" applyBorder="1" applyAlignment="1">
      <alignment horizontal="center"/>
    </xf>
    <xf numFmtId="0" fontId="1" fillId="2" borderId="0" xfId="0" applyFont="1" applyFill="1"/>
    <xf numFmtId="0" fontId="0" fillId="2" borderId="0" xfId="0" applyFill="1"/>
    <xf numFmtId="0" fontId="0" fillId="2" borderId="0" xfId="0" applyFont="1" applyFill="1"/>
    <xf numFmtId="0" fontId="0" fillId="3" borderId="20" xfId="0" applyFill="1" applyBorder="1"/>
    <xf numFmtId="0" fontId="0" fillId="3" borderId="21" xfId="0" applyFill="1" applyBorder="1"/>
    <xf numFmtId="0" fontId="0" fillId="3" borderId="23" xfId="0" applyFill="1" applyBorder="1"/>
    <xf numFmtId="0" fontId="0" fillId="3" borderId="24" xfId="0" applyFill="1" applyBorder="1"/>
    <xf numFmtId="0" fontId="0" fillId="3" borderId="25" xfId="0" applyFill="1" applyBorder="1"/>
    <xf numFmtId="0" fontId="5" fillId="3" borderId="0" xfId="0" applyFont="1" applyFill="1" applyBorder="1" applyAlignment="1">
      <alignment horizontal="left"/>
    </xf>
    <xf numFmtId="0" fontId="9" fillId="5" borderId="17" xfId="0" applyFont="1" applyFill="1" applyBorder="1"/>
    <xf numFmtId="0" fontId="9" fillId="5" borderId="18" xfId="0" applyFont="1" applyFill="1" applyBorder="1"/>
    <xf numFmtId="0" fontId="9" fillId="5" borderId="19" xfId="0" applyFont="1" applyFill="1" applyBorder="1"/>
    <xf numFmtId="0" fontId="9" fillId="5" borderId="20" xfId="0" applyFont="1" applyFill="1" applyBorder="1"/>
    <xf numFmtId="0" fontId="9" fillId="5" borderId="8" xfId="0" applyFont="1" applyFill="1" applyBorder="1"/>
    <xf numFmtId="0" fontId="9" fillId="5" borderId="0" xfId="0" applyFont="1" applyFill="1" applyBorder="1"/>
    <xf numFmtId="0" fontId="9" fillId="5" borderId="6" xfId="0" applyFont="1" applyFill="1" applyBorder="1"/>
    <xf numFmtId="0" fontId="9" fillId="5" borderId="21" xfId="0" applyFont="1" applyFill="1" applyBorder="1"/>
    <xf numFmtId="0" fontId="9" fillId="5" borderId="1" xfId="0" applyFont="1" applyFill="1" applyBorder="1"/>
    <xf numFmtId="0" fontId="9" fillId="5" borderId="2" xfId="0" applyFont="1" applyFill="1" applyBorder="1"/>
    <xf numFmtId="0" fontId="9" fillId="5" borderId="3" xfId="0" applyFont="1" applyFill="1" applyBorder="1"/>
    <xf numFmtId="0" fontId="9" fillId="5" borderId="11" xfId="0" applyFont="1" applyFill="1" applyBorder="1"/>
    <xf numFmtId="0" fontId="9" fillId="5" borderId="12" xfId="0" applyFont="1" applyFill="1" applyBorder="1" applyAlignment="1">
      <alignment horizontal="center"/>
    </xf>
    <xf numFmtId="0" fontId="9" fillId="5" borderId="7" xfId="0" applyFont="1" applyFill="1" applyBorder="1"/>
    <xf numFmtId="0" fontId="9" fillId="5" borderId="13" xfId="0" applyFont="1" applyFill="1" applyBorder="1"/>
    <xf numFmtId="9" fontId="9" fillId="5" borderId="14" xfId="1" applyFont="1" applyFill="1" applyBorder="1" applyAlignment="1">
      <alignment horizontal="center"/>
    </xf>
    <xf numFmtId="0" fontId="9" fillId="5" borderId="22" xfId="0" applyFont="1" applyFill="1" applyBorder="1"/>
    <xf numFmtId="0" fontId="9" fillId="5" borderId="14" xfId="0" applyFont="1" applyFill="1" applyBorder="1" applyAlignment="1">
      <alignment horizontal="center"/>
    </xf>
    <xf numFmtId="2" fontId="9" fillId="5" borderId="3" xfId="0" applyNumberFormat="1" applyFont="1" applyFill="1" applyBorder="1" applyAlignment="1">
      <alignment horizontal="center"/>
    </xf>
    <xf numFmtId="0" fontId="9" fillId="5" borderId="5" xfId="0" applyFont="1" applyFill="1" applyBorder="1"/>
    <xf numFmtId="0" fontId="9" fillId="5" borderId="3" xfId="0" applyFont="1" applyFill="1" applyBorder="1" applyAlignment="1"/>
    <xf numFmtId="0" fontId="9" fillId="5" borderId="9" xfId="0" applyFont="1" applyFill="1" applyBorder="1"/>
    <xf numFmtId="0" fontId="9" fillId="5" borderId="23" xfId="0" applyFont="1" applyFill="1" applyBorder="1"/>
    <xf numFmtId="0" fontId="9" fillId="5" borderId="24" xfId="0" applyFont="1" applyFill="1" applyBorder="1"/>
    <xf numFmtId="0" fontId="9" fillId="5" borderId="25" xfId="0" applyFont="1" applyFill="1" applyBorder="1"/>
    <xf numFmtId="0" fontId="15" fillId="0" borderId="0" xfId="0" applyFont="1"/>
    <xf numFmtId="0" fontId="9" fillId="5" borderId="10" xfId="0" applyFont="1" applyFill="1" applyBorder="1" applyAlignment="1">
      <alignment horizontal="center"/>
    </xf>
    <xf numFmtId="0" fontId="18" fillId="5" borderId="10" xfId="0" applyFont="1" applyFill="1" applyBorder="1"/>
    <xf numFmtId="0" fontId="9" fillId="5" borderId="26" xfId="0" applyFont="1" applyFill="1" applyBorder="1" applyAlignment="1">
      <alignment horizontal="center"/>
    </xf>
    <xf numFmtId="0" fontId="9" fillId="5" borderId="10" xfId="0" applyFont="1" applyFill="1" applyBorder="1"/>
    <xf numFmtId="0" fontId="9" fillId="5" borderId="3" xfId="0" applyFont="1" applyFill="1" applyBorder="1" applyAlignment="1">
      <alignment horizontal="center"/>
    </xf>
    <xf numFmtId="9" fontId="9" fillId="5" borderId="12" xfId="1" applyFont="1" applyFill="1" applyBorder="1" applyAlignment="1">
      <alignment horizontal="center"/>
    </xf>
    <xf numFmtId="0" fontId="9" fillId="5" borderId="27" xfId="0" applyFont="1" applyFill="1" applyBorder="1" applyAlignment="1">
      <alignment horizontal="center"/>
    </xf>
    <xf numFmtId="9" fontId="9" fillId="5" borderId="16" xfId="1" applyFont="1" applyFill="1" applyBorder="1" applyAlignment="1">
      <alignment horizontal="center"/>
    </xf>
    <xf numFmtId="164" fontId="9" fillId="5" borderId="10" xfId="3" applyNumberFormat="1" applyFont="1" applyFill="1" applyBorder="1" applyAlignment="1">
      <alignment horizontal="center"/>
    </xf>
    <xf numFmtId="0" fontId="9" fillId="5" borderId="12" xfId="0" applyFont="1" applyFill="1" applyBorder="1"/>
    <xf numFmtId="0" fontId="9" fillId="5" borderId="14" xfId="0" applyFont="1" applyFill="1" applyBorder="1"/>
    <xf numFmtId="9" fontId="9" fillId="5" borderId="14" xfId="0" applyNumberFormat="1" applyFont="1" applyFill="1" applyBorder="1" applyAlignment="1">
      <alignment horizontal="center"/>
    </xf>
    <xf numFmtId="0" fontId="9" fillId="5" borderId="15" xfId="0" applyFont="1" applyFill="1" applyBorder="1"/>
    <xf numFmtId="0" fontId="9" fillId="5" borderId="16" xfId="0" applyFont="1" applyFill="1" applyBorder="1"/>
    <xf numFmtId="9" fontId="9" fillId="5" borderId="16" xfId="0" applyNumberFormat="1" applyFont="1" applyFill="1" applyBorder="1" applyAlignment="1">
      <alignment horizontal="center"/>
    </xf>
    <xf numFmtId="0" fontId="18" fillId="5" borderId="10" xfId="0" applyFont="1" applyFill="1" applyBorder="1" applyAlignment="1">
      <alignment horizontal="center"/>
    </xf>
    <xf numFmtId="0" fontId="9" fillId="5" borderId="0" xfId="0" applyFont="1" applyFill="1" applyBorder="1" applyAlignment="1">
      <alignment horizontal="center" wrapText="1"/>
    </xf>
    <xf numFmtId="9" fontId="9" fillId="5" borderId="10" xfId="1" applyFont="1" applyFill="1" applyBorder="1" applyAlignment="1">
      <alignment horizontal="center"/>
    </xf>
    <xf numFmtId="10" fontId="9" fillId="5" borderId="3" xfId="1" applyNumberFormat="1" applyFont="1" applyFill="1" applyBorder="1" applyAlignment="1">
      <alignment horizontal="center"/>
    </xf>
    <xf numFmtId="8" fontId="9" fillId="5" borderId="10" xfId="0" applyNumberFormat="1" applyFont="1" applyFill="1" applyBorder="1" applyAlignment="1">
      <alignment horizontal="center"/>
    </xf>
    <xf numFmtId="0" fontId="9" fillId="5" borderId="4" xfId="0" applyFont="1" applyFill="1" applyBorder="1"/>
    <xf numFmtId="164" fontId="9" fillId="5" borderId="10" xfId="3" applyNumberFormat="1" applyFont="1" applyFill="1" applyBorder="1"/>
    <xf numFmtId="6" fontId="9" fillId="5" borderId="3" xfId="0" applyNumberFormat="1" applyFont="1" applyFill="1" applyBorder="1"/>
    <xf numFmtId="0" fontId="9" fillId="5" borderId="0" xfId="0" applyFont="1" applyFill="1" applyBorder="1" applyAlignment="1">
      <alignment horizontal="center"/>
    </xf>
    <xf numFmtId="9" fontId="9" fillId="5" borderId="0" xfId="0" applyNumberFormat="1" applyFont="1" applyFill="1" applyBorder="1" applyAlignment="1">
      <alignment horizontal="center"/>
    </xf>
    <xf numFmtId="0" fontId="15" fillId="5" borderId="20" xfId="0" applyFont="1" applyFill="1" applyBorder="1"/>
    <xf numFmtId="0" fontId="15" fillId="5" borderId="23" xfId="0" applyFont="1" applyFill="1" applyBorder="1"/>
    <xf numFmtId="0" fontId="9" fillId="5" borderId="24" xfId="0" applyFont="1" applyFill="1" applyBorder="1" applyAlignment="1">
      <alignment horizontal="center"/>
    </xf>
    <xf numFmtId="0" fontId="15" fillId="2" borderId="0" xfId="0" applyFont="1" applyFill="1"/>
    <xf numFmtId="0" fontId="9" fillId="2" borderId="0" xfId="0" applyFont="1" applyFill="1"/>
    <xf numFmtId="0" fontId="10" fillId="0" borderId="0" xfId="0" applyFont="1" applyFill="1" applyAlignment="1">
      <alignment horizontal="left"/>
    </xf>
    <xf numFmtId="0" fontId="10" fillId="5" borderId="11" xfId="0" applyFont="1" applyFill="1" applyBorder="1" applyAlignment="1">
      <alignment horizontal="left"/>
    </xf>
    <xf numFmtId="0" fontId="10" fillId="5" borderId="12" xfId="0" applyFont="1" applyFill="1" applyBorder="1" applyAlignment="1">
      <alignment horizontal="center"/>
    </xf>
    <xf numFmtId="0" fontId="10" fillId="5" borderId="13" xfId="0" applyFont="1" applyFill="1" applyBorder="1" applyAlignment="1">
      <alignment horizontal="left"/>
    </xf>
    <xf numFmtId="0" fontId="10" fillId="5" borderId="14" xfId="0" applyFont="1" applyFill="1" applyBorder="1" applyAlignment="1">
      <alignment horizontal="center"/>
    </xf>
    <xf numFmtId="0" fontId="10" fillId="5" borderId="15" xfId="0" applyFont="1" applyFill="1" applyBorder="1" applyAlignment="1">
      <alignment horizontal="left"/>
    </xf>
    <xf numFmtId="0" fontId="10" fillId="5" borderId="16" xfId="0" applyFont="1" applyFill="1" applyBorder="1" applyAlignment="1">
      <alignment horizontal="center"/>
    </xf>
    <xf numFmtId="0" fontId="10" fillId="5" borderId="0" xfId="0" applyFont="1" applyFill="1" applyBorder="1" applyAlignment="1">
      <alignment horizontal="left"/>
    </xf>
    <xf numFmtId="0" fontId="10" fillId="5" borderId="4" xfId="0" applyFont="1" applyFill="1" applyBorder="1" applyAlignment="1">
      <alignment horizontal="left"/>
    </xf>
    <xf numFmtId="3" fontId="10" fillId="5" borderId="4" xfId="0" applyNumberFormat="1" applyFont="1" applyFill="1" applyBorder="1" applyAlignment="1">
      <alignment horizontal="left"/>
    </xf>
    <xf numFmtId="0" fontId="20" fillId="5" borderId="31" xfId="0" applyFont="1" applyFill="1" applyBorder="1" applyAlignment="1">
      <alignment horizontal="left" vertical="center"/>
    </xf>
    <xf numFmtId="0" fontId="20" fillId="5" borderId="30" xfId="0" applyFont="1" applyFill="1" applyBorder="1" applyAlignment="1">
      <alignment horizontal="center" vertical="center"/>
    </xf>
    <xf numFmtId="0" fontId="20" fillId="5" borderId="29" xfId="0" applyFont="1" applyFill="1" applyBorder="1" applyAlignment="1">
      <alignment horizontal="left" vertical="center"/>
    </xf>
    <xf numFmtId="2" fontId="20" fillId="5" borderId="28" xfId="0" applyNumberFormat="1" applyFont="1" applyFill="1" applyBorder="1" applyAlignment="1" applyProtection="1">
      <alignment horizontal="center" vertical="center"/>
      <protection locked="0"/>
    </xf>
    <xf numFmtId="0" fontId="10" fillId="5" borderId="17" xfId="0" applyFont="1" applyFill="1" applyBorder="1" applyAlignment="1">
      <alignment horizontal="left"/>
    </xf>
    <xf numFmtId="0" fontId="10" fillId="5" borderId="18" xfId="0" applyFont="1" applyFill="1" applyBorder="1" applyAlignment="1">
      <alignment horizontal="left" vertical="center"/>
    </xf>
    <xf numFmtId="0" fontId="10" fillId="5" borderId="19" xfId="0" applyFont="1" applyFill="1" applyBorder="1" applyAlignment="1">
      <alignment horizontal="left"/>
    </xf>
    <xf numFmtId="0" fontId="10" fillId="5" borderId="20" xfId="0" applyFont="1" applyFill="1" applyBorder="1" applyAlignment="1">
      <alignment horizontal="left"/>
    </xf>
    <xf numFmtId="0" fontId="10" fillId="5" borderId="21" xfId="0" applyFont="1" applyFill="1" applyBorder="1" applyAlignment="1">
      <alignment horizontal="left"/>
    </xf>
    <xf numFmtId="0" fontId="10" fillId="5" borderId="23" xfId="0" applyFont="1" applyFill="1" applyBorder="1" applyAlignment="1">
      <alignment horizontal="left"/>
    </xf>
    <xf numFmtId="0" fontId="10" fillId="5" borderId="24" xfId="0" applyFont="1" applyFill="1" applyBorder="1" applyAlignment="1">
      <alignment horizontal="left"/>
    </xf>
    <xf numFmtId="3" fontId="10" fillId="5" borderId="24" xfId="0" applyNumberFormat="1" applyFont="1" applyFill="1" applyBorder="1" applyAlignment="1">
      <alignment horizontal="left"/>
    </xf>
    <xf numFmtId="0" fontId="10" fillId="5" borderId="25" xfId="0" applyFont="1" applyFill="1" applyBorder="1" applyAlignment="1">
      <alignment horizontal="left"/>
    </xf>
    <xf numFmtId="0" fontId="21" fillId="2" borderId="0" xfId="0" applyFont="1" applyFill="1"/>
    <xf numFmtId="0" fontId="21" fillId="0" borderId="0" xfId="0" applyFont="1"/>
    <xf numFmtId="0" fontId="22" fillId="2" borderId="0" xfId="0" applyFont="1" applyFill="1"/>
    <xf numFmtId="3" fontId="10" fillId="5" borderId="12" xfId="0" applyNumberFormat="1" applyFont="1" applyFill="1" applyBorder="1" applyAlignment="1">
      <alignment horizontal="left"/>
    </xf>
    <xf numFmtId="3" fontId="10" fillId="5" borderId="14" xfId="0" applyNumberFormat="1" applyFont="1" applyFill="1" applyBorder="1" applyAlignment="1">
      <alignment horizontal="left"/>
    </xf>
    <xf numFmtId="9" fontId="10" fillId="5" borderId="14" xfId="0" applyNumberFormat="1" applyFont="1" applyFill="1" applyBorder="1" applyAlignment="1">
      <alignment horizontal="left"/>
    </xf>
    <xf numFmtId="3" fontId="10" fillId="5" borderId="16" xfId="0" applyNumberFormat="1" applyFont="1" applyFill="1" applyBorder="1" applyAlignment="1">
      <alignment horizontal="left"/>
    </xf>
    <xf numFmtId="0" fontId="10" fillId="5" borderId="18" xfId="0" applyFont="1" applyFill="1" applyBorder="1" applyAlignment="1">
      <alignment horizontal="left"/>
    </xf>
    <xf numFmtId="165" fontId="10" fillId="5" borderId="0" xfId="0" applyNumberFormat="1" applyFont="1" applyFill="1" applyBorder="1" applyAlignment="1">
      <alignment horizontal="left"/>
    </xf>
    <xf numFmtId="9" fontId="10" fillId="5" borderId="0" xfId="0" applyNumberFormat="1" applyFont="1" applyFill="1" applyBorder="1" applyAlignment="1">
      <alignment horizontal="left"/>
    </xf>
    <xf numFmtId="9" fontId="10" fillId="5" borderId="21" xfId="0" applyNumberFormat="1" applyFont="1" applyFill="1" applyBorder="1" applyAlignment="1">
      <alignment horizontal="left"/>
    </xf>
    <xf numFmtId="0" fontId="10" fillId="5" borderId="32" xfId="0" applyFont="1" applyFill="1" applyBorder="1" applyAlignment="1">
      <alignment horizontal="left"/>
    </xf>
    <xf numFmtId="0" fontId="10" fillId="5" borderId="33" xfId="0" applyFont="1" applyFill="1" applyBorder="1" applyAlignment="1">
      <alignment horizontal="left"/>
    </xf>
    <xf numFmtId="0" fontId="10" fillId="2" borderId="0" xfId="0" applyFont="1" applyFill="1" applyAlignment="1">
      <alignment horizontal="left"/>
    </xf>
    <xf numFmtId="0" fontId="10" fillId="2" borderId="0" xfId="0" applyFont="1" applyFill="1" applyBorder="1" applyAlignment="1">
      <alignment horizontal="left" vertical="center"/>
    </xf>
    <xf numFmtId="0" fontId="1" fillId="5" borderId="0" xfId="0" applyFont="1" applyFill="1"/>
    <xf numFmtId="0" fontId="1" fillId="5" borderId="0" xfId="0" applyFont="1" applyFill="1" applyAlignment="1">
      <alignment horizontal="right"/>
    </xf>
    <xf numFmtId="0" fontId="10" fillId="5" borderId="17" xfId="2" applyFont="1" applyFill="1" applyBorder="1" applyAlignment="1">
      <alignment horizontal="center" vertical="center" wrapText="1"/>
    </xf>
    <xf numFmtId="0" fontId="10" fillId="5" borderId="18" xfId="2" applyFont="1" applyFill="1" applyBorder="1" applyAlignment="1">
      <alignment horizontal="center" vertical="center" wrapText="1"/>
    </xf>
    <xf numFmtId="0" fontId="10" fillId="5" borderId="19" xfId="2" applyFont="1" applyFill="1" applyBorder="1" applyAlignment="1">
      <alignment horizontal="center" vertical="center" wrapText="1"/>
    </xf>
    <xf numFmtId="0" fontId="10" fillId="5" borderId="20" xfId="2" applyFont="1" applyFill="1" applyBorder="1" applyAlignment="1">
      <alignment horizontal="center" vertical="center" wrapText="1"/>
    </xf>
    <xf numFmtId="0" fontId="10" fillId="5" borderId="0" xfId="2" applyFont="1" applyFill="1" applyBorder="1" applyAlignment="1">
      <alignment horizontal="center" vertical="center" wrapText="1"/>
    </xf>
    <xf numFmtId="0" fontId="10" fillId="5" borderId="21" xfId="2" applyFont="1" applyFill="1" applyBorder="1" applyAlignment="1">
      <alignment horizontal="center" vertical="center" wrapText="1"/>
    </xf>
    <xf numFmtId="0" fontId="10" fillId="5" borderId="23" xfId="2" applyFont="1" applyFill="1" applyBorder="1" applyAlignment="1">
      <alignment horizontal="center" vertical="center" wrapText="1"/>
    </xf>
    <xf numFmtId="0" fontId="10" fillId="5" borderId="24" xfId="2" applyFont="1" applyFill="1" applyBorder="1" applyAlignment="1">
      <alignment horizontal="center" vertical="center" wrapText="1"/>
    </xf>
    <xf numFmtId="0" fontId="10" fillId="5" borderId="25" xfId="2" applyFont="1" applyFill="1" applyBorder="1" applyAlignment="1">
      <alignment horizontal="center" vertical="center" wrapText="1"/>
    </xf>
    <xf numFmtId="0" fontId="9" fillId="5" borderId="17" xfId="2" applyFont="1" applyFill="1" applyBorder="1" applyAlignment="1">
      <alignment horizontal="center" vertical="center" wrapText="1"/>
    </xf>
    <xf numFmtId="0" fontId="9" fillId="5" borderId="18" xfId="2" applyFont="1" applyFill="1" applyBorder="1" applyAlignment="1">
      <alignment horizontal="center" vertical="center" wrapText="1"/>
    </xf>
    <xf numFmtId="0" fontId="9" fillId="5" borderId="19" xfId="2" applyFont="1" applyFill="1" applyBorder="1" applyAlignment="1">
      <alignment horizontal="center" vertical="center" wrapText="1"/>
    </xf>
    <xf numFmtId="0" fontId="9" fillId="5" borderId="20" xfId="2" applyFont="1" applyFill="1" applyBorder="1" applyAlignment="1">
      <alignment horizontal="center" vertical="center" wrapText="1"/>
    </xf>
    <xf numFmtId="0" fontId="9" fillId="5" borderId="0" xfId="2" applyFont="1" applyFill="1" applyBorder="1" applyAlignment="1">
      <alignment horizontal="center" vertical="center" wrapText="1"/>
    </xf>
    <xf numFmtId="0" fontId="9" fillId="5" borderId="21" xfId="2" applyFont="1" applyFill="1" applyBorder="1" applyAlignment="1">
      <alignment horizontal="center" vertical="center" wrapText="1"/>
    </xf>
    <xf numFmtId="0" fontId="9" fillId="5" borderId="23" xfId="2" applyFont="1" applyFill="1" applyBorder="1" applyAlignment="1">
      <alignment horizontal="center" vertical="center" wrapText="1"/>
    </xf>
    <xf numFmtId="0" fontId="9" fillId="5" borderId="24" xfId="2" applyFont="1" applyFill="1" applyBorder="1" applyAlignment="1">
      <alignment horizontal="center" vertical="center" wrapText="1"/>
    </xf>
    <xf numFmtId="0" fontId="9" fillId="5" borderId="25" xfId="2" applyFont="1" applyFill="1" applyBorder="1" applyAlignment="1">
      <alignment horizontal="center" vertical="center" wrapText="1"/>
    </xf>
    <xf numFmtId="0" fontId="11" fillId="5" borderId="17" xfId="2" applyFont="1" applyFill="1" applyBorder="1" applyAlignment="1">
      <alignment horizontal="center" vertical="center" wrapText="1"/>
    </xf>
    <xf numFmtId="0" fontId="11" fillId="5" borderId="18" xfId="2" applyFont="1" applyFill="1" applyBorder="1" applyAlignment="1">
      <alignment horizontal="center" vertical="center" wrapText="1"/>
    </xf>
    <xf numFmtId="0" fontId="11" fillId="5" borderId="19" xfId="2" applyFont="1" applyFill="1" applyBorder="1" applyAlignment="1">
      <alignment horizontal="center" vertical="center" wrapText="1"/>
    </xf>
    <xf numFmtId="0" fontId="11" fillId="5" borderId="20" xfId="2" applyFont="1" applyFill="1" applyBorder="1" applyAlignment="1">
      <alignment horizontal="center" vertical="center" wrapText="1"/>
    </xf>
    <xf numFmtId="0" fontId="11" fillId="5" borderId="0" xfId="2" applyFont="1" applyFill="1" applyBorder="1" applyAlignment="1">
      <alignment horizontal="center" vertical="center" wrapText="1"/>
    </xf>
    <xf numFmtId="0" fontId="11" fillId="5" borderId="21" xfId="2" applyFont="1" applyFill="1" applyBorder="1" applyAlignment="1">
      <alignment horizontal="center" vertical="center" wrapText="1"/>
    </xf>
    <xf numFmtId="0" fontId="11" fillId="5" borderId="23" xfId="2" applyFont="1" applyFill="1" applyBorder="1" applyAlignment="1">
      <alignment horizontal="center" vertical="center" wrapText="1"/>
    </xf>
    <xf numFmtId="0" fontId="11" fillId="5" borderId="24" xfId="2" applyFont="1" applyFill="1" applyBorder="1" applyAlignment="1">
      <alignment horizontal="center" vertical="center" wrapText="1"/>
    </xf>
    <xf numFmtId="0" fontId="11" fillId="5" borderId="25" xfId="2" applyFont="1" applyFill="1" applyBorder="1" applyAlignment="1">
      <alignment horizontal="center" vertical="center" wrapText="1"/>
    </xf>
    <xf numFmtId="0" fontId="11" fillId="5" borderId="17" xfId="2" applyFont="1" applyFill="1" applyBorder="1" applyAlignment="1">
      <alignment horizontal="center" vertical="center"/>
    </xf>
    <xf numFmtId="0" fontId="11" fillId="5" borderId="18" xfId="2" applyFont="1" applyFill="1" applyBorder="1" applyAlignment="1">
      <alignment horizontal="center" vertical="center"/>
    </xf>
    <xf numFmtId="0" fontId="11" fillId="5" borderId="19" xfId="2" applyFont="1" applyFill="1" applyBorder="1" applyAlignment="1">
      <alignment horizontal="center" vertical="center"/>
    </xf>
    <xf numFmtId="0" fontId="11" fillId="5" borderId="20" xfId="2" applyFont="1" applyFill="1" applyBorder="1" applyAlignment="1">
      <alignment horizontal="center" vertical="center"/>
    </xf>
    <xf numFmtId="0" fontId="11" fillId="5" borderId="0" xfId="2" applyFont="1" applyFill="1" applyBorder="1" applyAlignment="1">
      <alignment horizontal="center" vertical="center"/>
    </xf>
    <xf numFmtId="0" fontId="11" fillId="5" borderId="21" xfId="2" applyFont="1" applyFill="1" applyBorder="1" applyAlignment="1">
      <alignment horizontal="center" vertical="center"/>
    </xf>
    <xf numFmtId="0" fontId="11" fillId="5" borderId="23" xfId="2" applyFont="1" applyFill="1" applyBorder="1" applyAlignment="1">
      <alignment horizontal="center" vertical="center"/>
    </xf>
    <xf numFmtId="0" fontId="11" fillId="5" borderId="24" xfId="2" applyFont="1" applyFill="1" applyBorder="1" applyAlignment="1">
      <alignment horizontal="center" vertical="center"/>
    </xf>
    <xf numFmtId="0" fontId="11" fillId="5" borderId="25" xfId="2" applyFont="1" applyFill="1" applyBorder="1" applyAlignment="1">
      <alignment horizontal="center" vertical="center"/>
    </xf>
    <xf numFmtId="0" fontId="4" fillId="3" borderId="17" xfId="0" applyFont="1" applyFill="1" applyBorder="1" applyAlignment="1">
      <alignment horizontal="center" vertical="center" wrapText="1"/>
    </xf>
    <xf numFmtId="0" fontId="4" fillId="3" borderId="18" xfId="0" applyFont="1" applyFill="1" applyBorder="1" applyAlignment="1">
      <alignment horizontal="center" vertical="center" wrapText="1"/>
    </xf>
    <xf numFmtId="0" fontId="4" fillId="3" borderId="19" xfId="0" applyFont="1" applyFill="1" applyBorder="1" applyAlignment="1">
      <alignment horizontal="center" vertical="center" wrapText="1"/>
    </xf>
    <xf numFmtId="0" fontId="4" fillId="3" borderId="20" xfId="0" applyFont="1" applyFill="1" applyBorder="1" applyAlignment="1">
      <alignment horizontal="center" vertical="center" wrapText="1"/>
    </xf>
    <xf numFmtId="0" fontId="4" fillId="3" borderId="0" xfId="0" applyFont="1" applyFill="1" applyBorder="1" applyAlignment="1">
      <alignment horizontal="center" vertical="center" wrapText="1"/>
    </xf>
    <xf numFmtId="0" fontId="4" fillId="3" borderId="21" xfId="0" applyFont="1" applyFill="1" applyBorder="1" applyAlignment="1">
      <alignment horizontal="center" vertical="center" wrapText="1"/>
    </xf>
    <xf numFmtId="0" fontId="14" fillId="3" borderId="17" xfId="0" applyFont="1" applyFill="1" applyBorder="1" applyAlignment="1">
      <alignment horizontal="center" vertical="center"/>
    </xf>
    <xf numFmtId="0" fontId="2" fillId="3" borderId="18" xfId="0" applyFont="1" applyFill="1" applyBorder="1" applyAlignment="1">
      <alignment horizontal="center" vertical="center"/>
    </xf>
    <xf numFmtId="0" fontId="2" fillId="3" borderId="19" xfId="0" applyFont="1" applyFill="1" applyBorder="1" applyAlignment="1">
      <alignment horizontal="center" vertical="center"/>
    </xf>
    <xf numFmtId="0" fontId="2" fillId="3" borderId="20" xfId="0" applyFont="1" applyFill="1" applyBorder="1" applyAlignment="1">
      <alignment horizontal="center" vertical="center"/>
    </xf>
    <xf numFmtId="0" fontId="2" fillId="3" borderId="0" xfId="0" applyFont="1" applyFill="1" applyBorder="1" applyAlignment="1">
      <alignment horizontal="center" vertical="center"/>
    </xf>
    <xf numFmtId="0" fontId="2" fillId="3" borderId="21" xfId="0" applyFont="1" applyFill="1" applyBorder="1" applyAlignment="1">
      <alignment horizontal="center" vertical="center"/>
    </xf>
    <xf numFmtId="0" fontId="2" fillId="3" borderId="23" xfId="0" applyFont="1" applyFill="1" applyBorder="1" applyAlignment="1">
      <alignment horizontal="center" vertical="center"/>
    </xf>
    <xf numFmtId="0" fontId="2" fillId="3" borderId="24" xfId="0" applyFont="1" applyFill="1" applyBorder="1" applyAlignment="1">
      <alignment horizontal="center" vertical="center"/>
    </xf>
    <xf numFmtId="0" fontId="2" fillId="3" borderId="25" xfId="0" applyFont="1" applyFill="1" applyBorder="1" applyAlignment="1">
      <alignment horizontal="center" vertical="center"/>
    </xf>
    <xf numFmtId="0" fontId="9" fillId="5" borderId="0" xfId="0" applyFont="1" applyFill="1" applyBorder="1" applyAlignment="1">
      <alignment horizontal="center"/>
    </xf>
    <xf numFmtId="0" fontId="9" fillId="5" borderId="4" xfId="0" applyFont="1" applyFill="1" applyBorder="1" applyAlignment="1">
      <alignment horizontal="center"/>
    </xf>
    <xf numFmtId="0" fontId="9" fillId="5" borderId="1" xfId="0" applyFont="1" applyFill="1" applyBorder="1" applyAlignment="1">
      <alignment horizontal="center"/>
    </xf>
    <xf numFmtId="0" fontId="9" fillId="5" borderId="2" xfId="0" applyFont="1" applyFill="1" applyBorder="1" applyAlignment="1">
      <alignment horizontal="center"/>
    </xf>
    <xf numFmtId="0" fontId="9" fillId="5" borderId="3" xfId="0" applyFont="1" applyFill="1" applyBorder="1" applyAlignment="1">
      <alignment horizontal="center"/>
    </xf>
    <xf numFmtId="0" fontId="9" fillId="5" borderId="0" xfId="0" applyFont="1" applyFill="1" applyBorder="1" applyAlignment="1">
      <alignment horizontal="center" wrapText="1"/>
    </xf>
    <xf numFmtId="1" fontId="9" fillId="5" borderId="1" xfId="0" applyNumberFormat="1" applyFont="1" applyFill="1" applyBorder="1" applyAlignment="1">
      <alignment horizontal="center"/>
    </xf>
    <xf numFmtId="1" fontId="9" fillId="5" borderId="2" xfId="0" applyNumberFormat="1" applyFont="1" applyFill="1" applyBorder="1" applyAlignment="1">
      <alignment horizontal="center"/>
    </xf>
    <xf numFmtId="1" fontId="9" fillId="5" borderId="3" xfId="0" applyNumberFormat="1" applyFont="1" applyFill="1" applyBorder="1" applyAlignment="1">
      <alignment horizontal="center"/>
    </xf>
    <xf numFmtId="0" fontId="16" fillId="3" borderId="17" xfId="0" applyFont="1" applyFill="1" applyBorder="1" applyAlignment="1">
      <alignment horizontal="center" vertical="center" wrapText="1"/>
    </xf>
    <xf numFmtId="0" fontId="16" fillId="3" borderId="18" xfId="0" applyFont="1" applyFill="1" applyBorder="1" applyAlignment="1">
      <alignment horizontal="center" vertical="center" wrapText="1"/>
    </xf>
    <xf numFmtId="0" fontId="16" fillId="3" borderId="19" xfId="0" applyFont="1" applyFill="1" applyBorder="1" applyAlignment="1">
      <alignment horizontal="center" vertical="center" wrapText="1"/>
    </xf>
    <xf numFmtId="0" fontId="16" fillId="3" borderId="20" xfId="0" applyFont="1" applyFill="1" applyBorder="1" applyAlignment="1">
      <alignment horizontal="center" vertical="center" wrapText="1"/>
    </xf>
    <xf numFmtId="0" fontId="16" fillId="3" borderId="0" xfId="0" applyFont="1" applyFill="1" applyBorder="1" applyAlignment="1">
      <alignment horizontal="center" vertical="center" wrapText="1"/>
    </xf>
    <xf numFmtId="0" fontId="16" fillId="3" borderId="21" xfId="0" applyFont="1" applyFill="1" applyBorder="1" applyAlignment="1">
      <alignment horizontal="center" vertical="center" wrapText="1"/>
    </xf>
    <xf numFmtId="0" fontId="16" fillId="3" borderId="23" xfId="0" applyFont="1" applyFill="1" applyBorder="1" applyAlignment="1">
      <alignment horizontal="center" vertical="center" wrapText="1"/>
    </xf>
    <xf numFmtId="0" fontId="16" fillId="3" borderId="24" xfId="0" applyFont="1" applyFill="1" applyBorder="1" applyAlignment="1">
      <alignment horizontal="center" vertical="center" wrapText="1"/>
    </xf>
    <xf numFmtId="0" fontId="16" fillId="3" borderId="25" xfId="0" applyFont="1" applyFill="1" applyBorder="1" applyAlignment="1">
      <alignment horizontal="center" vertical="center" wrapText="1"/>
    </xf>
    <xf numFmtId="0" fontId="9" fillId="5" borderId="1" xfId="0" applyFont="1" applyFill="1" applyBorder="1" applyAlignment="1">
      <alignment horizontal="center" wrapText="1"/>
    </xf>
    <xf numFmtId="0" fontId="9" fillId="5" borderId="2" xfId="0" applyFont="1" applyFill="1" applyBorder="1" applyAlignment="1">
      <alignment horizontal="center" wrapText="1"/>
    </xf>
    <xf numFmtId="0" fontId="9" fillId="5" borderId="3" xfId="0" applyFont="1" applyFill="1" applyBorder="1" applyAlignment="1">
      <alignment horizontal="center" wrapText="1"/>
    </xf>
    <xf numFmtId="0" fontId="9" fillId="5" borderId="11" xfId="0" applyFont="1" applyFill="1" applyBorder="1" applyAlignment="1">
      <alignment horizontal="center"/>
    </xf>
    <xf numFmtId="0" fontId="9" fillId="5" borderId="5" xfId="0" applyFont="1" applyFill="1" applyBorder="1" applyAlignment="1">
      <alignment horizontal="center"/>
    </xf>
    <xf numFmtId="0" fontId="18" fillId="5" borderId="11" xfId="0" applyFont="1" applyFill="1" applyBorder="1" applyAlignment="1">
      <alignment horizontal="center" vertical="center" wrapText="1"/>
    </xf>
    <xf numFmtId="0" fontId="18" fillId="5" borderId="5" xfId="0" applyFont="1" applyFill="1" applyBorder="1" applyAlignment="1">
      <alignment horizontal="center" vertical="center" wrapText="1"/>
    </xf>
    <xf numFmtId="0" fontId="18" fillId="5" borderId="12" xfId="0" applyFont="1" applyFill="1" applyBorder="1" applyAlignment="1">
      <alignment horizontal="center" vertical="center" wrapText="1"/>
    </xf>
    <xf numFmtId="0" fontId="18" fillId="5" borderId="13" xfId="0" applyFont="1" applyFill="1" applyBorder="1" applyAlignment="1">
      <alignment horizontal="center" vertical="center" wrapText="1"/>
    </xf>
    <xf numFmtId="0" fontId="18" fillId="5" borderId="0" xfId="0" applyFont="1" applyFill="1" applyBorder="1" applyAlignment="1">
      <alignment horizontal="center" vertical="center" wrapText="1"/>
    </xf>
    <xf numFmtId="0" fontId="18" fillId="5" borderId="14" xfId="0" applyFont="1" applyFill="1" applyBorder="1" applyAlignment="1">
      <alignment horizontal="center" vertical="center" wrapText="1"/>
    </xf>
    <xf numFmtId="0" fontId="18" fillId="5" borderId="15" xfId="0" applyFont="1" applyFill="1" applyBorder="1" applyAlignment="1">
      <alignment horizontal="center" vertical="center" wrapText="1"/>
    </xf>
    <xf numFmtId="0" fontId="18" fillId="5" borderId="4" xfId="0" applyFont="1" applyFill="1" applyBorder="1" applyAlignment="1">
      <alignment horizontal="center" vertical="center" wrapText="1"/>
    </xf>
    <xf numFmtId="0" fontId="18" fillId="5" borderId="16" xfId="0" applyFont="1" applyFill="1" applyBorder="1" applyAlignment="1">
      <alignment horizontal="center" vertical="center" wrapText="1"/>
    </xf>
    <xf numFmtId="0" fontId="9" fillId="5" borderId="15" xfId="0" applyFont="1" applyFill="1" applyBorder="1" applyAlignment="1">
      <alignment horizontal="center"/>
    </xf>
    <xf numFmtId="0" fontId="9" fillId="5" borderId="16" xfId="0" applyFont="1" applyFill="1" applyBorder="1" applyAlignment="1">
      <alignment horizontal="center"/>
    </xf>
    <xf numFmtId="0" fontId="19" fillId="4" borderId="17" xfId="0" applyFont="1" applyFill="1" applyBorder="1" applyAlignment="1">
      <alignment horizontal="center" vertical="center"/>
    </xf>
    <xf numFmtId="0" fontId="19" fillId="4" borderId="18" xfId="0" applyFont="1" applyFill="1" applyBorder="1" applyAlignment="1">
      <alignment horizontal="center" vertical="center"/>
    </xf>
    <xf numFmtId="0" fontId="19" fillId="4" borderId="19" xfId="0" applyFont="1" applyFill="1" applyBorder="1" applyAlignment="1">
      <alignment horizontal="center" vertical="center"/>
    </xf>
    <xf numFmtId="0" fontId="19" fillId="4" borderId="20" xfId="0" applyFont="1" applyFill="1" applyBorder="1" applyAlignment="1">
      <alignment horizontal="center" vertical="center"/>
    </xf>
    <xf numFmtId="0" fontId="19" fillId="4" borderId="0" xfId="0" applyFont="1" applyFill="1" applyBorder="1" applyAlignment="1">
      <alignment horizontal="center" vertical="center"/>
    </xf>
    <xf numFmtId="0" fontId="19" fillId="4" borderId="21" xfId="0" applyFont="1" applyFill="1" applyBorder="1" applyAlignment="1">
      <alignment horizontal="center" vertical="center"/>
    </xf>
    <xf numFmtId="0" fontId="19" fillId="4" borderId="23" xfId="0" applyFont="1" applyFill="1" applyBorder="1" applyAlignment="1">
      <alignment horizontal="center" vertical="center"/>
    </xf>
    <xf numFmtId="0" fontId="19" fillId="4" borderId="24" xfId="0" applyFont="1" applyFill="1" applyBorder="1" applyAlignment="1">
      <alignment horizontal="center" vertical="center"/>
    </xf>
    <xf numFmtId="0" fontId="19" fillId="4" borderId="25" xfId="0" applyFont="1" applyFill="1" applyBorder="1" applyAlignment="1">
      <alignment horizontal="center" vertical="center"/>
    </xf>
    <xf numFmtId="0" fontId="23" fillId="6" borderId="1" xfId="0" applyFont="1" applyFill="1" applyBorder="1" applyAlignment="1">
      <alignment horizontal="center" vertical="center"/>
    </xf>
    <xf numFmtId="0" fontId="23" fillId="6" borderId="2" xfId="0" applyFont="1" applyFill="1" applyBorder="1" applyAlignment="1">
      <alignment horizontal="center" vertical="center"/>
    </xf>
    <xf numFmtId="0" fontId="23" fillId="6" borderId="3" xfId="0" applyFont="1" applyFill="1" applyBorder="1" applyAlignment="1">
      <alignment horizontal="center" vertical="center"/>
    </xf>
    <xf numFmtId="0" fontId="24" fillId="2" borderId="0" xfId="0" applyFont="1" applyFill="1"/>
    <xf numFmtId="0" fontId="24" fillId="0" borderId="0" xfId="0" applyFont="1"/>
    <xf numFmtId="0" fontId="25" fillId="7" borderId="1" xfId="0" applyFont="1" applyFill="1" applyBorder="1" applyAlignment="1">
      <alignment horizontal="center"/>
    </xf>
    <xf numFmtId="0" fontId="25" fillId="7" borderId="2" xfId="0" applyFont="1" applyFill="1" applyBorder="1" applyAlignment="1">
      <alignment horizontal="center"/>
    </xf>
    <xf numFmtId="0" fontId="24" fillId="2" borderId="2" xfId="0" applyFont="1" applyFill="1" applyBorder="1"/>
    <xf numFmtId="0" fontId="25" fillId="7" borderId="2" xfId="0" applyFont="1" applyFill="1" applyBorder="1" applyAlignment="1">
      <alignment horizontal="center"/>
    </xf>
    <xf numFmtId="0" fontId="26" fillId="2" borderId="2" xfId="0" applyFont="1" applyFill="1" applyBorder="1"/>
    <xf numFmtId="0" fontId="25" fillId="7" borderId="3" xfId="0" applyFont="1" applyFill="1" applyBorder="1" applyAlignment="1">
      <alignment horizontal="center"/>
    </xf>
    <xf numFmtId="0" fontId="24" fillId="0" borderId="34" xfId="0" applyFont="1" applyBorder="1"/>
    <xf numFmtId="0" fontId="27" fillId="8" borderId="35" xfId="0" applyFont="1" applyFill="1" applyBorder="1"/>
    <xf numFmtId="0" fontId="27" fillId="8" borderId="0" xfId="0" applyFont="1" applyFill="1"/>
    <xf numFmtId="0" fontId="28" fillId="8" borderId="35" xfId="0" applyFont="1" applyFill="1" applyBorder="1"/>
    <xf numFmtId="0" fontId="24" fillId="8" borderId="0" xfId="0" applyFont="1" applyFill="1"/>
    <xf numFmtId="0" fontId="27" fillId="0" borderId="35" xfId="0" applyFont="1" applyBorder="1"/>
    <xf numFmtId="0" fontId="27" fillId="0" borderId="0" xfId="0" applyFont="1"/>
    <xf numFmtId="0" fontId="24" fillId="0" borderId="35" xfId="0" applyFont="1" applyBorder="1"/>
    <xf numFmtId="0" fontId="24" fillId="8" borderId="35" xfId="0" applyFont="1" applyFill="1" applyBorder="1"/>
    <xf numFmtId="0" fontId="24" fillId="8" borderId="36" xfId="0" quotePrefix="1" applyFont="1" applyFill="1" applyBorder="1" applyAlignment="1">
      <alignment horizontal="center"/>
    </xf>
    <xf numFmtId="0" fontId="24" fillId="8" borderId="37" xfId="0" quotePrefix="1" applyFont="1" applyFill="1" applyBorder="1" applyAlignment="1">
      <alignment horizontal="center"/>
    </xf>
    <xf numFmtId="0" fontId="24" fillId="0" borderId="0" xfId="0" quotePrefix="1" applyFont="1" applyAlignment="1">
      <alignment horizontal="center"/>
    </xf>
    <xf numFmtId="3" fontId="24" fillId="8" borderId="0" xfId="0" applyNumberFormat="1" applyFont="1" applyFill="1" applyAlignment="1">
      <alignment horizontal="center"/>
    </xf>
    <xf numFmtId="0" fontId="24" fillId="8" borderId="0" xfId="0" applyFont="1" applyFill="1" applyAlignment="1">
      <alignment horizontal="center"/>
    </xf>
    <xf numFmtId="0" fontId="24" fillId="8" borderId="0" xfId="0" applyFont="1" applyFill="1" applyAlignment="1">
      <alignment horizontal="center"/>
    </xf>
    <xf numFmtId="0" fontId="26" fillId="8" borderId="0" xfId="0" applyFont="1" applyFill="1"/>
    <xf numFmtId="3" fontId="24" fillId="8" borderId="0" xfId="0" applyNumberFormat="1" applyFont="1" applyFill="1"/>
    <xf numFmtId="0" fontId="24" fillId="0" borderId="0" xfId="0" applyFont="1" applyAlignment="1">
      <alignment horizontal="center"/>
    </xf>
    <xf numFmtId="0" fontId="29" fillId="8" borderId="0" xfId="2" applyFont="1" applyFill="1"/>
    <xf numFmtId="0" fontId="30" fillId="9" borderId="0" xfId="0" applyFont="1" applyFill="1" applyAlignment="1">
      <alignment horizontal="center"/>
    </xf>
    <xf numFmtId="0" fontId="24" fillId="9" borderId="38" xfId="0" applyFont="1" applyFill="1" applyBorder="1"/>
    <xf numFmtId="0" fontId="30" fillId="9" borderId="38" xfId="0" applyFont="1" applyFill="1" applyBorder="1" applyAlignment="1">
      <alignment horizontal="center"/>
    </xf>
    <xf numFmtId="0" fontId="27" fillId="2" borderId="0" xfId="0" applyFont="1" applyFill="1"/>
    <xf numFmtId="0" fontId="30" fillId="9" borderId="38" xfId="0" applyFont="1" applyFill="1" applyBorder="1" applyAlignment="1">
      <alignment horizontal="center" vertical="center"/>
    </xf>
    <xf numFmtId="0" fontId="26" fillId="0" borderId="38" xfId="0" applyFont="1" applyBorder="1"/>
    <xf numFmtId="10" fontId="24" fillId="0" borderId="38" xfId="0" applyNumberFormat="1" applyFont="1" applyBorder="1" applyAlignment="1">
      <alignment horizontal="center"/>
    </xf>
    <xf numFmtId="10" fontId="24" fillId="0" borderId="38" xfId="0" applyNumberFormat="1" applyFont="1" applyBorder="1" applyAlignment="1">
      <alignment horizontal="right"/>
    </xf>
    <xf numFmtId="10" fontId="24" fillId="0" borderId="38" xfId="0" applyNumberFormat="1" applyFont="1" applyBorder="1" applyAlignment="1">
      <alignment horizontal="left"/>
    </xf>
    <xf numFmtId="10" fontId="27" fillId="2" borderId="0" xfId="0" applyNumberFormat="1" applyFont="1" applyFill="1" applyAlignment="1">
      <alignment horizontal="left"/>
    </xf>
    <xf numFmtId="10" fontId="24" fillId="0" borderId="38" xfId="0" applyNumberFormat="1" applyFont="1" applyBorder="1"/>
    <xf numFmtId="2" fontId="24" fillId="0" borderId="38" xfId="0" applyNumberFormat="1" applyFont="1" applyBorder="1"/>
    <xf numFmtId="2" fontId="24" fillId="7" borderId="38" xfId="0" applyNumberFormat="1" applyFont="1" applyFill="1" applyBorder="1"/>
    <xf numFmtId="0" fontId="26" fillId="0" borderId="39" xfId="0" applyFont="1" applyBorder="1"/>
    <xf numFmtId="0" fontId="24" fillId="0" borderId="40" xfId="0" applyFont="1" applyBorder="1"/>
    <xf numFmtId="0" fontId="24" fillId="0" borderId="41" xfId="0" applyFont="1" applyBorder="1"/>
    <xf numFmtId="0" fontId="24" fillId="0" borderId="42" xfId="0" applyFont="1" applyBorder="1"/>
    <xf numFmtId="10" fontId="24" fillId="0" borderId="0" xfId="0" applyNumberFormat="1" applyFont="1"/>
    <xf numFmtId="0" fontId="24" fillId="0" borderId="36" xfId="0" applyFont="1" applyBorder="1"/>
    <xf numFmtId="0" fontId="24" fillId="0" borderId="37" xfId="0" applyFont="1" applyBorder="1"/>
    <xf numFmtId="0" fontId="24" fillId="0" borderId="43" xfId="0" applyFont="1" applyBorder="1"/>
  </cellXfs>
  <cellStyles count="4">
    <cellStyle name="Currency 2" xfId="3" xr:uid="{00000000-0005-0000-0000-000000000000}"/>
    <cellStyle name="Hyperlink" xfId="2" builtinId="8"/>
    <cellStyle name="Normal" xfId="0" builtinId="0"/>
    <cellStyle name="Percent" xfId="1" builtinId="5"/>
  </cellStyles>
  <dxfs count="1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0877C"/>
        </patternFill>
      </fill>
    </dxf>
    <dxf>
      <font>
        <color auto="1"/>
      </font>
      <fill>
        <patternFill>
          <fgColor rgb="FFF0877C"/>
          <bgColor rgb="FFFF6161"/>
        </patternFill>
      </fill>
    </dxf>
    <dxf>
      <fill>
        <patternFill>
          <bgColor rgb="FFFF0000"/>
        </patternFill>
      </fill>
    </dxf>
    <dxf>
      <fill>
        <patternFill>
          <bgColor theme="7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7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00B0F0"/>
        </patternFill>
      </fill>
    </dxf>
  </dxfs>
  <tableStyles count="0" defaultTableStyle="TableStyleMedium2" defaultPivotStyle="PivotStyleLight16"/>
  <colors>
    <mruColors>
      <color rgb="FFE8E7E4"/>
      <color rgb="FF006600"/>
      <color rgb="FFE3B291"/>
      <color rgb="FFFFFF99"/>
      <color rgb="FFFFFF66"/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Portfolio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rgbClr val="FF5050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0FE0-41C5-972E-27C68F0EA928}"/>
              </c:ext>
            </c:extLst>
          </c:dPt>
          <c:dPt>
            <c:idx val="1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0FE0-41C5-972E-27C68F0EA928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Equity</a:t>
                    </a:r>
                  </a:p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0FE0-41C5-972E-27C68F0EA92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Debt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0FE0-41C5-972E-27C68F0EA92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1"/>
            <c:showCatName val="0"/>
            <c:showSerName val="1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'Life Insurance'!$Q$11:$Q$12</c:f>
              <c:numCache>
                <c:formatCode>0%</c:formatCode>
                <c:ptCount val="2"/>
                <c:pt idx="0">
                  <c:v>0.5</c:v>
                </c:pt>
                <c:pt idx="1">
                  <c:v>0.5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FE0-41C5-972E-27C68F0EA928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Maturity</a:t>
            </a:r>
            <a:r>
              <a:rPr lang="en-IN" baseline="0"/>
              <a:t> Amount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  <a:sp3d/>
          </c:spPr>
          <c:invertIfNegative val="0"/>
          <c:dPt>
            <c:idx val="1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1-7FCC-450E-8EE6-F2A58D817E22}"/>
              </c:ext>
            </c:extLst>
          </c:dPt>
          <c:dLbls>
            <c:dLbl>
              <c:idx val="0"/>
              <c:layout>
                <c:manualLayout>
                  <c:x val="2.0224717311800644E-2"/>
                  <c:y val="5.913272316433636E-3"/>
                </c:manualLayout>
              </c:layout>
              <c:tx>
                <c:rich>
                  <a:bodyPr rot="-5400000" spcFirstLastPara="1" vertOverflow="overflow" horzOverflow="overflow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1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100"/>
                      <a:t>Fixed</a:t>
                    </a:r>
                    <a:r>
                      <a:rPr lang="en-US" sz="1100" baseline="0"/>
                      <a:t> Policy</a:t>
                    </a:r>
                    <a:endParaRPr lang="en-US" sz="1100"/>
                  </a:p>
                </c:rich>
              </c:tx>
              <c:spPr>
                <a:noFill/>
                <a:ln>
                  <a:solidFill>
                    <a:schemeClr val="accent1"/>
                  </a:solidFill>
                </a:ln>
                <a:effectLst/>
              </c:spPr>
              <c:txPr>
                <a:bodyPr rot="-5400000" spcFirstLastPara="1" vertOverflow="overflow" horzOverflow="overflow" wrap="square" lIns="38100" tIns="19050" rIns="38100" bIns="19050" anchor="ctr" anchorCtr="1">
                  <a:spAutoFit/>
                </a:bodyPr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7FCC-450E-8EE6-F2A58D817E22}"/>
                </c:ext>
              </c:extLst>
            </c:dLbl>
            <c:dLbl>
              <c:idx val="1"/>
              <c:layout>
                <c:manualLayout>
                  <c:x val="-3.370786218633441E-3"/>
                  <c:y val="0.31931670508741644"/>
                </c:manualLayout>
              </c:layout>
              <c:tx>
                <c:rich>
                  <a:bodyPr rot="-5400000" spcFirstLastPara="1" vertOverflow="overflow" horzOverflow="overflow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1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100"/>
                      <a:t>Custom</a:t>
                    </a:r>
                  </a:p>
                </c:rich>
              </c:tx>
              <c:spPr>
                <a:noFill/>
                <a:ln>
                  <a:solidFill>
                    <a:schemeClr val="accent1"/>
                  </a:solidFill>
                </a:ln>
                <a:effectLst/>
              </c:spPr>
              <c:txPr>
                <a:bodyPr rot="-5400000" spcFirstLastPara="1" vertOverflow="overflow" horzOverflow="overflow" wrap="square" lIns="38100" tIns="19050" rIns="38100" bIns="19050" anchor="ctr" anchorCtr="1">
                  <a:spAutoFit/>
                </a:bodyPr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7FCC-450E-8EE6-F2A58D817E22}"/>
                </c:ext>
              </c:extLst>
            </c:dLbl>
            <c:spPr>
              <a:noFill/>
              <a:ln>
                <a:solidFill>
                  <a:schemeClr val="accent1"/>
                </a:solidFill>
              </a:ln>
              <a:effectLst/>
            </c:spPr>
            <c:txPr>
              <a:bodyPr rot="-5400000" spcFirstLastPara="1" vertOverflow="overflow" horzOverflow="overflow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('Life Insurance'!$L$32,'Life Insurance'!$Q$32)</c:f>
              <c:numCache>
                <c:formatCode>"₹"#,##0.00_);[Red]\("₹"#,##0.00\)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FCC-450E-8EE6-F2A58D817E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495979008"/>
        <c:axId val="1584696464"/>
        <c:axId val="0"/>
      </c:bar3DChart>
      <c:catAx>
        <c:axId val="149597900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84696464"/>
        <c:crosses val="autoZero"/>
        <c:auto val="1"/>
        <c:lblAlgn val="ctr"/>
        <c:lblOffset val="100"/>
        <c:noMultiLvlLbl val="0"/>
      </c:catAx>
      <c:valAx>
        <c:axId val="1584696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₹&quot;#,##0.00_);[Red]\(&quot;₹&quot;#,##0.0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95979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Radio" checked="Checked" firstButton="1" lockText="1" noThreeD="1"/>
</file>

<file path=xl/ctrlProps/ctrlProp2.xml><?xml version="1.0" encoding="utf-8"?>
<formControlPr xmlns="http://schemas.microsoft.com/office/spreadsheetml/2009/9/main" objectType="Radio" lockText="1" noThreeD="1"/>
</file>

<file path=xl/ctrlProps/ctrlProp3.xml><?xml version="1.0" encoding="utf-8"?>
<formControlPr xmlns="http://schemas.microsoft.com/office/spreadsheetml/2009/9/main" objectType="Spin" dx="31" fmlaLink="$I$16" max="3" min="1" page="10" val="2"/>
</file>

<file path=xl/ctrlProps/ctrlProp4.xml><?xml version="1.0" encoding="utf-8"?>
<formControlPr xmlns="http://schemas.microsoft.com/office/spreadsheetml/2009/9/main" objectType="Radio" checked="Checked" firstButton="1" fmlaLink="$F$21" lockText="1" noThreeD="1"/>
</file>

<file path=xl/ctrlProps/ctrlProp5.xml><?xml version="1.0" encoding="utf-8"?>
<formControlPr xmlns="http://schemas.microsoft.com/office/spreadsheetml/2009/9/main" objectType="Radio" lockText="1" noThreeD="1"/>
</file>

<file path=xl/ctrlProps/ctrlProp6.xml><?xml version="1.0" encoding="utf-8"?>
<formControlPr xmlns="http://schemas.microsoft.com/office/spreadsheetml/2009/9/main" objectType="Radio" lockText="1" noThreeD="1"/>
</file>

<file path=xl/ctrlProps/ctrlProp7.xml><?xml version="1.0" encoding="utf-8"?>
<formControlPr xmlns="http://schemas.microsoft.com/office/spreadsheetml/2009/9/main" objectType="Drop" dropLines="3" dropStyle="combo" dx="22" fmlaRange="#REF!" noThreeD="1" sel="0" val="0"/>
</file>

<file path=xl/ctrlProps/ctrlProp8.xml><?xml version="1.0" encoding="utf-8"?>
<formControlPr xmlns="http://schemas.microsoft.com/office/spreadsheetml/2009/9/main" objectType="Spin" dx="31" fmlaLink="$E$17" inc="2" max="7" min="1" page="10" val="5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476250</xdr:colOff>
          <xdr:row>7</xdr:row>
          <xdr:rowOff>139700</xdr:rowOff>
        </xdr:from>
        <xdr:to>
          <xdr:col>4</xdr:col>
          <xdr:colOff>298450</xdr:colOff>
          <xdr:row>9</xdr:row>
          <xdr:rowOff>101600</xdr:rowOff>
        </xdr:to>
        <xdr:sp macro="" textlink="">
          <xdr:nvSpPr>
            <xdr:cNvPr id="1029" name="Option 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457200</xdr:colOff>
          <xdr:row>7</xdr:row>
          <xdr:rowOff>158750</xdr:rowOff>
        </xdr:from>
        <xdr:to>
          <xdr:col>5</xdr:col>
          <xdr:colOff>38100</xdr:colOff>
          <xdr:row>9</xdr:row>
          <xdr:rowOff>63500</xdr:rowOff>
        </xdr:to>
        <xdr:sp macro="" textlink="">
          <xdr:nvSpPr>
            <xdr:cNvPr id="1030" name="Option 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120650</xdr:colOff>
          <xdr:row>15</xdr:row>
          <xdr:rowOff>12700</xdr:rowOff>
        </xdr:from>
        <xdr:to>
          <xdr:col>10</xdr:col>
          <xdr:colOff>501650</xdr:colOff>
          <xdr:row>15</xdr:row>
          <xdr:rowOff>228600</xdr:rowOff>
        </xdr:to>
        <xdr:sp macro="" textlink="">
          <xdr:nvSpPr>
            <xdr:cNvPr id="1041" name="Spinner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1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13</xdr:col>
      <xdr:colOff>568657</xdr:colOff>
      <xdr:row>14</xdr:row>
      <xdr:rowOff>123209</xdr:rowOff>
    </xdr:from>
    <xdr:to>
      <xdr:col>14</xdr:col>
      <xdr:colOff>227463</xdr:colOff>
      <xdr:row>17</xdr:row>
      <xdr:rowOff>47388</xdr:rowOff>
    </xdr:to>
    <xdr:sp macro="[0]!_xludf.clear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6530075" y="3440373"/>
          <a:ext cx="1819701" cy="635000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6"/>
        </a:fillRef>
        <a:effectRef idx="1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>
              <a:latin typeface="Times New Roman" panose="02020603050405020304" pitchFamily="18" charset="0"/>
              <a:cs typeface="Times New Roman" panose="02020603050405020304" pitchFamily="18" charset="0"/>
            </a:rPr>
            <a:t>CLEAR ALL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234950</xdr:colOff>
          <xdr:row>16</xdr:row>
          <xdr:rowOff>12700</xdr:rowOff>
        </xdr:from>
        <xdr:to>
          <xdr:col>6</xdr:col>
          <xdr:colOff>723900</xdr:colOff>
          <xdr:row>17</xdr:row>
          <xdr:rowOff>31750</xdr:rowOff>
        </xdr:to>
        <xdr:sp macro="" textlink="">
          <xdr:nvSpPr>
            <xdr:cNvPr id="6145" name="Option 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Balanced (1)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234950</xdr:colOff>
          <xdr:row>17</xdr:row>
          <xdr:rowOff>25400</xdr:rowOff>
        </xdr:from>
        <xdr:to>
          <xdr:col>6</xdr:col>
          <xdr:colOff>717550</xdr:colOff>
          <xdr:row>18</xdr:row>
          <xdr:rowOff>12700</xdr:rowOff>
        </xdr:to>
        <xdr:sp macro="" textlink="">
          <xdr:nvSpPr>
            <xdr:cNvPr id="6146" name="Option 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2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Aggressive (2)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234950</xdr:colOff>
          <xdr:row>17</xdr:row>
          <xdr:rowOff>215900</xdr:rowOff>
        </xdr:from>
        <xdr:to>
          <xdr:col>6</xdr:col>
          <xdr:colOff>755650</xdr:colOff>
          <xdr:row>18</xdr:row>
          <xdr:rowOff>215900</xdr:rowOff>
        </xdr:to>
        <xdr:sp macro="" textlink="">
          <xdr:nvSpPr>
            <xdr:cNvPr id="6147" name="Option 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2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Conservative (3)</a:t>
              </a:r>
            </a:p>
          </xdr:txBody>
        </xdr:sp>
        <xdr:clientData/>
      </xdr:twoCellAnchor>
    </mc:Choice>
    <mc:Fallback/>
  </mc:AlternateContent>
  <xdr:twoCellAnchor>
    <xdr:from>
      <xdr:col>14</xdr:col>
      <xdr:colOff>515228</xdr:colOff>
      <xdr:row>13</xdr:row>
      <xdr:rowOff>59990</xdr:rowOff>
    </xdr:from>
    <xdr:to>
      <xdr:col>19</xdr:col>
      <xdr:colOff>16349</xdr:colOff>
      <xdr:row>22</xdr:row>
      <xdr:rowOff>148167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353496</xdr:colOff>
      <xdr:row>23</xdr:row>
      <xdr:rowOff>150614</xdr:rowOff>
    </xdr:from>
    <xdr:to>
      <xdr:col>26</xdr:col>
      <xdr:colOff>482801</xdr:colOff>
      <xdr:row>34</xdr:row>
      <xdr:rowOff>211032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10</xdr:row>
          <xdr:rowOff>12700</xdr:rowOff>
        </xdr:from>
        <xdr:to>
          <xdr:col>4</xdr:col>
          <xdr:colOff>1778000</xdr:colOff>
          <xdr:row>11</xdr:row>
          <xdr:rowOff>25400</xdr:rowOff>
        </xdr:to>
        <xdr:sp macro="" textlink="">
          <xdr:nvSpPr>
            <xdr:cNvPr id="7169" name="Drop Dow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3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107950</xdr:colOff>
          <xdr:row>15</xdr:row>
          <xdr:rowOff>190500</xdr:rowOff>
        </xdr:from>
        <xdr:to>
          <xdr:col>5</xdr:col>
          <xdr:colOff>552450</xdr:colOff>
          <xdr:row>18</xdr:row>
          <xdr:rowOff>196850</xdr:rowOff>
        </xdr:to>
        <xdr:sp macro="" textlink="">
          <xdr:nvSpPr>
            <xdr:cNvPr id="8193" name="Spinner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6B5CC255-F0D5-4288-BA00-D4704594A4B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Blue II">
      <a:dk1>
        <a:sysClr val="windowText" lastClr="000000"/>
      </a:dk1>
      <a:lt1>
        <a:sysClr val="window" lastClr="FFFFFF"/>
      </a:lt1>
      <a:dk2>
        <a:srgbClr val="335B74"/>
      </a:dk2>
      <a:lt2>
        <a:srgbClr val="DFE3E5"/>
      </a:lt2>
      <a:accent1>
        <a:srgbClr val="1CADE4"/>
      </a:accent1>
      <a:accent2>
        <a:srgbClr val="2683C6"/>
      </a:accent2>
      <a:accent3>
        <a:srgbClr val="27CED7"/>
      </a:accent3>
      <a:accent4>
        <a:srgbClr val="42BA97"/>
      </a:accent4>
      <a:accent5>
        <a:srgbClr val="3E8853"/>
      </a:accent5>
      <a:accent6>
        <a:srgbClr val="62A39F"/>
      </a:accent6>
      <a:hlink>
        <a:srgbClr val="6EAC1C"/>
      </a:hlink>
      <a:folHlink>
        <a:srgbClr val="B26B0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Y37"/>
  <sheetViews>
    <sheetView topLeftCell="A2" zoomScale="80" workbookViewId="0">
      <selection activeCell="N23" sqref="N23:P26"/>
    </sheetView>
  </sheetViews>
  <sheetFormatPr defaultRowHeight="14.5" x14ac:dyDescent="0.35"/>
  <sheetData>
    <row r="1" spans="1:24" s="5" customFormat="1" x14ac:dyDescent="0.35"/>
    <row r="2" spans="1:24" s="5" customFormat="1" x14ac:dyDescent="0.35"/>
    <row r="3" spans="1:24" s="5" customFormat="1" ht="15" thickBot="1" x14ac:dyDescent="0.4"/>
    <row r="4" spans="1:24" ht="14.5" customHeight="1" x14ac:dyDescent="0.35">
      <c r="A4" s="5"/>
      <c r="B4" s="5"/>
      <c r="C4" s="5"/>
      <c r="D4" s="5"/>
      <c r="E4" s="145" t="s">
        <v>30</v>
      </c>
      <c r="F4" s="146"/>
      <c r="G4" s="146"/>
      <c r="H4" s="146"/>
      <c r="I4" s="146"/>
      <c r="J4" s="146"/>
      <c r="K4" s="146"/>
      <c r="L4" s="147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</row>
    <row r="5" spans="1:24" ht="14.5" customHeight="1" x14ac:dyDescent="0.35">
      <c r="A5" s="5"/>
      <c r="B5" s="5"/>
      <c r="C5" s="5"/>
      <c r="D5" s="5"/>
      <c r="E5" s="148"/>
      <c r="F5" s="149"/>
      <c r="G5" s="149"/>
      <c r="H5" s="149"/>
      <c r="I5" s="149"/>
      <c r="J5" s="149"/>
      <c r="K5" s="149"/>
      <c r="L5" s="150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</row>
    <row r="6" spans="1:24" ht="14.5" customHeight="1" x14ac:dyDescent="0.35">
      <c r="A6" s="5"/>
      <c r="B6" s="5"/>
      <c r="C6" s="5"/>
      <c r="D6" s="5"/>
      <c r="E6" s="148"/>
      <c r="F6" s="149"/>
      <c r="G6" s="149"/>
      <c r="H6" s="149"/>
      <c r="I6" s="149"/>
      <c r="J6" s="149"/>
      <c r="K6" s="149"/>
      <c r="L6" s="150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</row>
    <row r="7" spans="1:24" ht="14.5" customHeight="1" x14ac:dyDescent="0.35">
      <c r="A7" s="5"/>
      <c r="B7" s="5"/>
      <c r="C7" s="5"/>
      <c r="D7" s="5"/>
      <c r="E7" s="148"/>
      <c r="F7" s="149"/>
      <c r="G7" s="149"/>
      <c r="H7" s="149"/>
      <c r="I7" s="149"/>
      <c r="J7" s="149"/>
      <c r="K7" s="149"/>
      <c r="L7" s="150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</row>
    <row r="8" spans="1:24" ht="14.5" customHeight="1" x14ac:dyDescent="0.35">
      <c r="A8" s="5"/>
      <c r="B8" s="5"/>
      <c r="C8" s="5"/>
      <c r="D8" s="5"/>
      <c r="E8" s="148"/>
      <c r="F8" s="149"/>
      <c r="G8" s="149"/>
      <c r="H8" s="149"/>
      <c r="I8" s="149"/>
      <c r="J8" s="149"/>
      <c r="K8" s="149"/>
      <c r="L8" s="150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</row>
    <row r="9" spans="1:24" ht="14.5" customHeight="1" x14ac:dyDescent="0.35">
      <c r="A9" s="5"/>
      <c r="B9" s="5"/>
      <c r="C9" s="5"/>
      <c r="D9" s="5"/>
      <c r="E9" s="148"/>
      <c r="F9" s="149"/>
      <c r="G9" s="149"/>
      <c r="H9" s="149"/>
      <c r="I9" s="149"/>
      <c r="J9" s="149"/>
      <c r="K9" s="149"/>
      <c r="L9" s="150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</row>
    <row r="10" spans="1:24" ht="14.5" customHeight="1" x14ac:dyDescent="0.35">
      <c r="A10" s="5"/>
      <c r="B10" s="5"/>
      <c r="C10" s="5"/>
      <c r="D10" s="5"/>
      <c r="E10" s="148"/>
      <c r="F10" s="149"/>
      <c r="G10" s="149"/>
      <c r="H10" s="149"/>
      <c r="I10" s="149"/>
      <c r="J10" s="149"/>
      <c r="K10" s="149"/>
      <c r="L10" s="150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</row>
    <row r="11" spans="1:24" ht="14.5" customHeight="1" x14ac:dyDescent="0.35">
      <c r="A11" s="5"/>
      <c r="B11" s="5"/>
      <c r="C11" s="5"/>
      <c r="D11" s="5"/>
      <c r="E11" s="148"/>
      <c r="F11" s="149"/>
      <c r="G11" s="149"/>
      <c r="H11" s="149"/>
      <c r="I11" s="149"/>
      <c r="J11" s="149"/>
      <c r="K11" s="149"/>
      <c r="L11" s="150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</row>
    <row r="12" spans="1:24" ht="14.5" customHeight="1" x14ac:dyDescent="0.35">
      <c r="A12" s="5"/>
      <c r="B12" s="5"/>
      <c r="C12" s="5"/>
      <c r="D12" s="5"/>
      <c r="E12" s="148"/>
      <c r="F12" s="149"/>
      <c r="G12" s="149"/>
      <c r="H12" s="149"/>
      <c r="I12" s="149"/>
      <c r="J12" s="149"/>
      <c r="K12" s="149"/>
      <c r="L12" s="150"/>
      <c r="M12" s="5"/>
      <c r="N12" s="5"/>
      <c r="O12" s="6"/>
      <c r="P12" s="5"/>
      <c r="Q12" s="5"/>
      <c r="R12" s="5"/>
      <c r="S12" s="5"/>
      <c r="T12" s="5"/>
      <c r="U12" s="5"/>
      <c r="V12" s="5"/>
      <c r="W12" s="5"/>
      <c r="X12" s="5"/>
    </row>
    <row r="13" spans="1:24" ht="14.5" customHeight="1" x14ac:dyDescent="0.35">
      <c r="A13" s="5"/>
      <c r="B13" s="5"/>
      <c r="C13" s="5"/>
      <c r="D13" s="5"/>
      <c r="E13" s="148"/>
      <c r="F13" s="149"/>
      <c r="G13" s="149"/>
      <c r="H13" s="149"/>
      <c r="I13" s="149"/>
      <c r="J13" s="149"/>
      <c r="K13" s="149"/>
      <c r="L13" s="150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</row>
    <row r="14" spans="1:24" ht="20" x14ac:dyDescent="0.4">
      <c r="A14" s="5"/>
      <c r="B14" s="5"/>
      <c r="C14" s="5"/>
      <c r="D14" s="5"/>
      <c r="E14" s="7"/>
      <c r="F14" s="2"/>
      <c r="G14" s="12" t="s">
        <v>22</v>
      </c>
      <c r="H14" s="12"/>
      <c r="I14" s="12"/>
      <c r="J14" s="3" t="s">
        <v>26</v>
      </c>
      <c r="K14" s="2"/>
      <c r="L14" s="8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</row>
    <row r="15" spans="1:24" ht="20" x14ac:dyDescent="0.4">
      <c r="A15" s="5"/>
      <c r="B15" s="5"/>
      <c r="C15" s="5"/>
      <c r="D15" s="5"/>
      <c r="E15" s="7"/>
      <c r="F15" s="2"/>
      <c r="G15" s="12" t="s">
        <v>23</v>
      </c>
      <c r="H15" s="12"/>
      <c r="I15" s="12"/>
      <c r="J15" s="3" t="s">
        <v>27</v>
      </c>
      <c r="K15" s="2"/>
      <c r="L15" s="8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</row>
    <row r="16" spans="1:24" ht="20" x14ac:dyDescent="0.4">
      <c r="A16" s="5"/>
      <c r="B16" s="5"/>
      <c r="C16" s="5"/>
      <c r="D16" s="5"/>
      <c r="E16" s="7"/>
      <c r="F16" s="2"/>
      <c r="G16" s="12" t="s">
        <v>24</v>
      </c>
      <c r="H16" s="12"/>
      <c r="I16" s="12"/>
      <c r="J16" s="3" t="s">
        <v>28</v>
      </c>
      <c r="K16" s="2"/>
      <c r="L16" s="8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</row>
    <row r="17" spans="1:25" ht="20" x14ac:dyDescent="0.4">
      <c r="A17" s="5"/>
      <c r="B17" s="5"/>
      <c r="C17" s="5"/>
      <c r="D17" s="5"/>
      <c r="E17" s="7"/>
      <c r="F17" s="2"/>
      <c r="G17" s="12" t="s">
        <v>25</v>
      </c>
      <c r="H17" s="12"/>
      <c r="I17" s="12"/>
      <c r="J17" s="3" t="s">
        <v>29</v>
      </c>
      <c r="K17" s="2"/>
      <c r="L17" s="8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</row>
    <row r="18" spans="1:25" x14ac:dyDescent="0.35">
      <c r="A18" s="5"/>
      <c r="B18" s="5"/>
      <c r="C18" s="5"/>
      <c r="D18" s="5"/>
      <c r="E18" s="7"/>
      <c r="F18" s="2"/>
      <c r="G18" s="2"/>
      <c r="H18" s="2"/>
      <c r="I18" s="2"/>
      <c r="J18" s="2"/>
      <c r="K18" s="2"/>
      <c r="L18" s="8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</row>
    <row r="19" spans="1:25" ht="15" thickBot="1" x14ac:dyDescent="0.4">
      <c r="A19" s="5"/>
      <c r="B19" s="5"/>
      <c r="C19" s="5"/>
      <c r="D19" s="5"/>
      <c r="E19" s="9"/>
      <c r="F19" s="10"/>
      <c r="G19" s="10"/>
      <c r="H19" s="10"/>
      <c r="I19" s="10"/>
      <c r="J19" s="10"/>
      <c r="K19" s="10"/>
      <c r="L19" s="11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</row>
    <row r="20" spans="1:25" s="5" customFormat="1" x14ac:dyDescent="0.35"/>
    <row r="21" spans="1:25" s="5" customFormat="1" x14ac:dyDescent="0.35"/>
    <row r="22" spans="1:25" s="5" customFormat="1" ht="15" thickBot="1" x14ac:dyDescent="0.4"/>
    <row r="23" spans="1:25" x14ac:dyDescent="0.35">
      <c r="A23" s="5"/>
      <c r="B23" s="109" t="s">
        <v>31</v>
      </c>
      <c r="C23" s="110"/>
      <c r="D23" s="111"/>
      <c r="E23" s="5"/>
      <c r="F23" s="118" t="s">
        <v>34</v>
      </c>
      <c r="G23" s="119"/>
      <c r="H23" s="120"/>
      <c r="I23" s="5"/>
      <c r="J23" s="127" t="s">
        <v>32</v>
      </c>
      <c r="K23" s="128"/>
      <c r="L23" s="129"/>
      <c r="M23" s="5"/>
      <c r="N23" s="136" t="s">
        <v>33</v>
      </c>
      <c r="O23" s="137"/>
      <c r="P23" s="138"/>
      <c r="Q23" s="5"/>
      <c r="R23" s="5"/>
      <c r="S23" s="5"/>
      <c r="T23" s="5"/>
      <c r="U23" s="5"/>
      <c r="V23" s="5"/>
      <c r="W23" s="5"/>
      <c r="X23" s="5"/>
      <c r="Y23" s="5"/>
    </row>
    <row r="24" spans="1:25" x14ac:dyDescent="0.35">
      <c r="A24" s="5"/>
      <c r="B24" s="112"/>
      <c r="C24" s="113"/>
      <c r="D24" s="114"/>
      <c r="E24" s="5"/>
      <c r="F24" s="121"/>
      <c r="G24" s="122"/>
      <c r="H24" s="123"/>
      <c r="I24" s="5"/>
      <c r="J24" s="130"/>
      <c r="K24" s="131"/>
      <c r="L24" s="132"/>
      <c r="M24" s="5"/>
      <c r="N24" s="139"/>
      <c r="O24" s="140"/>
      <c r="P24" s="141"/>
      <c r="Q24" s="5"/>
      <c r="R24" s="5"/>
      <c r="S24" s="5"/>
      <c r="T24" s="5"/>
      <c r="U24" s="5"/>
      <c r="V24" s="5"/>
      <c r="W24" s="5"/>
      <c r="X24" s="5"/>
      <c r="Y24" s="5"/>
    </row>
    <row r="25" spans="1:25" ht="18.5" x14ac:dyDescent="0.45">
      <c r="A25" s="5"/>
      <c r="B25" s="112"/>
      <c r="C25" s="113"/>
      <c r="D25" s="114"/>
      <c r="E25" s="5"/>
      <c r="F25" s="121"/>
      <c r="G25" s="122"/>
      <c r="H25" s="123"/>
      <c r="I25" s="4"/>
      <c r="J25" s="130"/>
      <c r="K25" s="131"/>
      <c r="L25" s="132"/>
      <c r="M25" s="5"/>
      <c r="N25" s="139"/>
      <c r="O25" s="140"/>
      <c r="P25" s="141"/>
      <c r="Q25" s="5"/>
      <c r="R25" s="5"/>
      <c r="S25" s="5"/>
      <c r="T25" s="5"/>
      <c r="U25" s="5"/>
      <c r="V25" s="5"/>
      <c r="W25" s="5"/>
      <c r="X25" s="5"/>
      <c r="Y25" s="5"/>
    </row>
    <row r="26" spans="1:25" ht="15" thickBot="1" x14ac:dyDescent="0.4">
      <c r="A26" s="5"/>
      <c r="B26" s="115"/>
      <c r="C26" s="116"/>
      <c r="D26" s="117"/>
      <c r="E26" s="5"/>
      <c r="F26" s="124"/>
      <c r="G26" s="125"/>
      <c r="H26" s="126"/>
      <c r="I26" s="5"/>
      <c r="J26" s="133"/>
      <c r="K26" s="134"/>
      <c r="L26" s="135"/>
      <c r="M26" s="5"/>
      <c r="N26" s="142"/>
      <c r="O26" s="143"/>
      <c r="P26" s="144"/>
      <c r="Q26" s="5"/>
      <c r="R26" s="5"/>
      <c r="S26" s="5"/>
      <c r="T26" s="5"/>
      <c r="U26" s="5"/>
      <c r="V26" s="5"/>
      <c r="W26" s="5"/>
      <c r="X26" s="5"/>
      <c r="Y26" s="5"/>
    </row>
    <row r="27" spans="1:25" s="5" customFormat="1" x14ac:dyDescent="0.35"/>
    <row r="28" spans="1:25" s="5" customFormat="1" x14ac:dyDescent="0.35"/>
    <row r="29" spans="1:25" s="5" customFormat="1" x14ac:dyDescent="0.35"/>
    <row r="30" spans="1:25" s="5" customFormat="1" x14ac:dyDescent="0.35"/>
    <row r="31" spans="1:25" s="5" customFormat="1" x14ac:dyDescent="0.35"/>
    <row r="32" spans="1:25" s="5" customFormat="1" x14ac:dyDescent="0.35"/>
    <row r="33" s="5" customFormat="1" x14ac:dyDescent="0.35"/>
    <row r="34" s="5" customFormat="1" x14ac:dyDescent="0.35"/>
    <row r="35" s="5" customFormat="1" x14ac:dyDescent="0.35"/>
    <row r="36" s="5" customFormat="1" x14ac:dyDescent="0.35"/>
    <row r="37" s="5" customFormat="1" x14ac:dyDescent="0.35"/>
  </sheetData>
  <mergeCells count="5">
    <mergeCell ref="B23:D26"/>
    <mergeCell ref="F23:H26"/>
    <mergeCell ref="J23:L26"/>
    <mergeCell ref="N23:P26"/>
    <mergeCell ref="E4:L13"/>
  </mergeCells>
  <hyperlinks>
    <hyperlink ref="B23:D26" location="'Health Insurance'!A1" display="Health/Medical Insurance" xr:uid="{00000000-0004-0000-0000-000000000000}"/>
    <hyperlink ref="F23:H26" location="'Life Insurance'!A1" display="'Life Insurance'!A1" xr:uid="{00000000-0004-0000-0000-000001000000}"/>
    <hyperlink ref="J23:L26" location="'Motor Insurance'!A1" display="Motor Insurance" xr:uid="{00000000-0004-0000-0000-000002000000}"/>
    <hyperlink ref="N23:P26" location="'Home Insurance'!A1" display="Home Insurance" xr:uid="{00000000-0004-0000-0000-000003000000}"/>
  </hyperlinks>
  <pageMargins left="0.7" right="0.7" top="0.75" bottom="0.75" header="0.3" footer="0.3"/>
  <pageSetup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F37"/>
  <sheetViews>
    <sheetView topLeftCell="A7" zoomScale="85" zoomScaleNormal="55" workbookViewId="0">
      <selection activeCell="P23" sqref="P23"/>
    </sheetView>
  </sheetViews>
  <sheetFormatPr defaultRowHeight="18.5" x14ac:dyDescent="0.45"/>
  <cols>
    <col min="1" max="1" width="8.7265625" style="4"/>
    <col min="2" max="2" width="8.7265625" style="1"/>
    <col min="3" max="3" width="4" style="1" customWidth="1"/>
    <col min="4" max="6" width="8.7265625" style="1"/>
    <col min="7" max="7" width="4" style="1" customWidth="1"/>
    <col min="8" max="8" width="3.26953125" style="1" customWidth="1"/>
    <col min="9" max="9" width="8.7265625" style="1"/>
    <col min="10" max="10" width="10" style="1" bestFit="1" customWidth="1"/>
    <col min="11" max="11" width="8.7265625" style="1"/>
    <col min="12" max="12" width="3.453125" style="1" customWidth="1"/>
    <col min="13" max="13" width="8.7265625" style="1"/>
    <col min="14" max="14" width="30.90625" style="1" bestFit="1" customWidth="1"/>
    <col min="15" max="15" width="19.453125" style="1" bestFit="1" customWidth="1"/>
    <col min="16" max="16" width="9.1796875" style="1" customWidth="1"/>
    <col min="17" max="17" width="9.81640625" style="93" customWidth="1"/>
    <col min="18" max="26" width="8.7265625" style="93"/>
    <col min="27" max="16384" width="8.7265625" style="1"/>
  </cols>
  <sheetData>
    <row r="1" spans="2:32" ht="19" thickBot="1" x14ac:dyDescent="0.5"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92"/>
      <c r="R1" s="92"/>
      <c r="S1" s="92"/>
      <c r="T1" s="92"/>
      <c r="U1" s="92"/>
      <c r="V1" s="92"/>
      <c r="W1" s="92"/>
      <c r="X1" s="92"/>
      <c r="Y1" s="92"/>
      <c r="Z1" s="92"/>
      <c r="AA1" s="4"/>
      <c r="AB1" s="4"/>
      <c r="AC1" s="4"/>
      <c r="AD1" s="4"/>
      <c r="AE1" s="4"/>
      <c r="AF1" s="4"/>
    </row>
    <row r="2" spans="2:32" ht="18.5" customHeight="1" x14ac:dyDescent="0.45">
      <c r="B2" s="4"/>
      <c r="C2" s="4"/>
      <c r="D2" s="151" t="s">
        <v>4</v>
      </c>
      <c r="E2" s="152"/>
      <c r="F2" s="152"/>
      <c r="G2" s="152"/>
      <c r="H2" s="152"/>
      <c r="I2" s="152"/>
      <c r="J2" s="152"/>
      <c r="K2" s="152"/>
      <c r="L2" s="152"/>
      <c r="M2" s="152"/>
      <c r="N2" s="152"/>
      <c r="O2" s="153"/>
      <c r="P2" s="4"/>
      <c r="Q2" s="92"/>
      <c r="R2" s="92"/>
      <c r="S2" s="92"/>
      <c r="T2" s="92"/>
      <c r="U2" s="92"/>
      <c r="V2" s="92"/>
      <c r="W2" s="92"/>
      <c r="X2" s="92"/>
      <c r="Y2" s="92"/>
      <c r="Z2" s="92"/>
      <c r="AA2" s="4"/>
      <c r="AB2" s="4"/>
      <c r="AC2" s="4"/>
      <c r="AD2" s="4"/>
      <c r="AE2" s="4"/>
      <c r="AF2" s="4"/>
    </row>
    <row r="3" spans="2:32" ht="18.5" customHeight="1" x14ac:dyDescent="0.45">
      <c r="B3" s="4"/>
      <c r="C3" s="4"/>
      <c r="D3" s="154"/>
      <c r="E3" s="155"/>
      <c r="F3" s="155"/>
      <c r="G3" s="155"/>
      <c r="H3" s="155"/>
      <c r="I3" s="155"/>
      <c r="J3" s="155"/>
      <c r="K3" s="155"/>
      <c r="L3" s="155"/>
      <c r="M3" s="155"/>
      <c r="N3" s="155"/>
      <c r="O3" s="156"/>
      <c r="P3" s="4"/>
      <c r="Q3" s="92"/>
      <c r="R3" s="92"/>
      <c r="S3" s="92"/>
      <c r="T3" s="92"/>
      <c r="U3" s="92"/>
      <c r="V3" s="92"/>
      <c r="W3" s="92"/>
      <c r="X3" s="92"/>
      <c r="Y3" s="92"/>
      <c r="Z3" s="92"/>
      <c r="AA3" s="4"/>
      <c r="AB3" s="4"/>
      <c r="AC3" s="4"/>
      <c r="AD3" s="4"/>
      <c r="AE3" s="4"/>
      <c r="AF3" s="4"/>
    </row>
    <row r="4" spans="2:32" ht="18.5" customHeight="1" x14ac:dyDescent="0.45">
      <c r="B4" s="4"/>
      <c r="C4" s="4"/>
      <c r="D4" s="154"/>
      <c r="E4" s="155"/>
      <c r="F4" s="155"/>
      <c r="G4" s="155"/>
      <c r="H4" s="155"/>
      <c r="I4" s="155"/>
      <c r="J4" s="155"/>
      <c r="K4" s="155"/>
      <c r="L4" s="155"/>
      <c r="M4" s="155"/>
      <c r="N4" s="155"/>
      <c r="O4" s="156"/>
      <c r="P4" s="4"/>
      <c r="Q4" s="92"/>
      <c r="R4" s="92"/>
      <c r="S4" s="92"/>
      <c r="T4" s="92"/>
      <c r="U4" s="92"/>
      <c r="V4" s="92"/>
      <c r="W4" s="92"/>
      <c r="X4" s="92"/>
      <c r="Y4" s="92"/>
      <c r="Z4" s="92"/>
      <c r="AA4" s="4"/>
      <c r="AB4" s="4"/>
      <c r="AC4" s="4"/>
      <c r="AD4" s="4"/>
      <c r="AE4" s="4"/>
      <c r="AF4" s="4"/>
    </row>
    <row r="5" spans="2:32" ht="18.5" customHeight="1" thickBot="1" x14ac:dyDescent="0.5">
      <c r="B5" s="4"/>
      <c r="C5" s="4"/>
      <c r="D5" s="157"/>
      <c r="E5" s="158"/>
      <c r="F5" s="158"/>
      <c r="G5" s="158"/>
      <c r="H5" s="158"/>
      <c r="I5" s="158"/>
      <c r="J5" s="158"/>
      <c r="K5" s="158"/>
      <c r="L5" s="158"/>
      <c r="M5" s="158"/>
      <c r="N5" s="158"/>
      <c r="O5" s="159"/>
      <c r="P5" s="4"/>
      <c r="Q5" s="92"/>
      <c r="R5" s="92"/>
      <c r="S5" s="92"/>
      <c r="T5" s="92"/>
      <c r="U5" s="92"/>
      <c r="V5" s="92"/>
      <c r="W5" s="92"/>
      <c r="X5" s="92"/>
      <c r="Y5" s="92"/>
      <c r="Z5" s="92"/>
      <c r="AA5" s="4"/>
      <c r="AB5" s="4"/>
      <c r="AC5" s="4"/>
      <c r="AD5" s="4"/>
      <c r="AE5" s="4"/>
      <c r="AF5" s="4"/>
    </row>
    <row r="6" spans="2:32" ht="19" thickBot="1" x14ac:dyDescent="0.5">
      <c r="B6" s="4"/>
      <c r="C6" s="4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92"/>
      <c r="R6" s="92"/>
      <c r="S6" s="92"/>
      <c r="T6" s="92"/>
      <c r="U6" s="92"/>
      <c r="V6" s="92"/>
      <c r="W6" s="92"/>
      <c r="X6" s="92"/>
      <c r="Y6" s="92"/>
      <c r="Z6" s="92"/>
      <c r="AA6" s="4"/>
      <c r="AB6" s="4"/>
      <c r="AC6" s="4"/>
      <c r="AD6" s="4"/>
      <c r="AE6" s="4"/>
      <c r="AF6" s="4"/>
    </row>
    <row r="7" spans="2:32" x14ac:dyDescent="0.45">
      <c r="B7" s="13"/>
      <c r="C7" s="14"/>
      <c r="D7" s="14"/>
      <c r="E7" s="14"/>
      <c r="F7" s="14"/>
      <c r="G7" s="14"/>
      <c r="H7" s="14"/>
      <c r="I7" s="14"/>
      <c r="J7" s="14"/>
      <c r="K7" s="14"/>
      <c r="L7" s="14"/>
      <c r="M7" s="14"/>
      <c r="N7" s="14"/>
      <c r="O7" s="14"/>
      <c r="P7" s="15"/>
      <c r="Q7" s="92"/>
      <c r="R7" s="92"/>
      <c r="S7" s="92"/>
      <c r="T7" s="92"/>
      <c r="U7" s="92"/>
      <c r="V7" s="92"/>
      <c r="W7" s="92"/>
      <c r="X7" s="92"/>
      <c r="Y7" s="92"/>
      <c r="Z7" s="92"/>
      <c r="AA7" s="4"/>
      <c r="AB7" s="4"/>
      <c r="AC7" s="4"/>
      <c r="AD7" s="4"/>
      <c r="AE7" s="4"/>
      <c r="AF7" s="4"/>
    </row>
    <row r="8" spans="2:32" ht="19" thickBot="1" x14ac:dyDescent="0.5">
      <c r="B8" s="16"/>
      <c r="C8" s="17"/>
      <c r="D8" s="160" t="s">
        <v>3</v>
      </c>
      <c r="E8" s="160"/>
      <c r="F8" s="18"/>
      <c r="G8" s="19"/>
      <c r="H8" s="18"/>
      <c r="I8" s="165" t="s">
        <v>7</v>
      </c>
      <c r="J8" s="165"/>
      <c r="K8" s="165"/>
      <c r="L8" s="18"/>
      <c r="M8" s="17"/>
      <c r="N8" s="18"/>
      <c r="O8" s="18"/>
      <c r="P8" s="20"/>
      <c r="Q8" s="92"/>
      <c r="R8" s="92"/>
      <c r="S8" s="92"/>
      <c r="T8" s="92"/>
      <c r="U8" s="92"/>
      <c r="V8" s="92"/>
      <c r="W8" s="92"/>
      <c r="X8" s="92"/>
      <c r="Y8" s="92"/>
      <c r="Z8" s="92"/>
      <c r="AA8" s="4"/>
      <c r="AB8" s="4"/>
      <c r="AC8" s="4"/>
      <c r="AD8" s="4"/>
      <c r="AE8" s="4"/>
      <c r="AF8" s="4"/>
    </row>
    <row r="9" spans="2:32" ht="19" thickBot="1" x14ac:dyDescent="0.5">
      <c r="B9" s="16"/>
      <c r="C9" s="18"/>
      <c r="D9" s="21"/>
      <c r="E9" s="22" t="s">
        <v>0</v>
      </c>
      <c r="F9" s="23" t="s">
        <v>1</v>
      </c>
      <c r="G9" s="18"/>
      <c r="H9" s="18"/>
      <c r="I9" s="165"/>
      <c r="J9" s="165"/>
      <c r="K9" s="165"/>
      <c r="L9" s="18"/>
      <c r="M9" s="18"/>
      <c r="N9" s="24" t="s">
        <v>16</v>
      </c>
      <c r="O9" s="25">
        <f>IF(AND(D18&lt;=25,I13="5 L"),5000,IF(AND(D18&lt;=25,I13="25 L"),9500,IF(AND(D18&lt;=25,I13="50 L"),17000,IF(AND(D18&lt;=25,I13="1 Cr."),"No policy avilable",(IF(AND(D18&lt;=50,I13="5 L"),8000,IF(AND(D18&lt;=50,I13="25 L"),1000,IF(AND(D18&lt;50,I13="50 L"),21000,IF(AND(D18&lt;50,I13="1 Cr."),34000,IF(AND(D18&lt;75,I13="5 L"),15000,IF(AND(D18&lt;75,I13="25 L"),28000,IF(AND(D18&lt;75,I13="50 L"),60000,IF(AND(D18&lt;75,I13="1 Cr."),78000,"No policy avilable")))))))))))))</f>
        <v>78000</v>
      </c>
      <c r="P9" s="20"/>
      <c r="Q9" s="92"/>
      <c r="R9" s="92"/>
      <c r="S9" s="92"/>
      <c r="T9" s="92"/>
      <c r="U9" s="92"/>
      <c r="V9" s="92"/>
      <c r="W9" s="92"/>
      <c r="X9" s="92"/>
      <c r="Y9" s="92"/>
      <c r="Z9" s="92"/>
      <c r="AA9" s="4"/>
      <c r="AB9" s="4"/>
      <c r="AC9" s="4"/>
      <c r="AD9" s="4"/>
      <c r="AE9" s="4"/>
      <c r="AF9" s="4"/>
    </row>
    <row r="10" spans="2:32" ht="19" thickBot="1" x14ac:dyDescent="0.5">
      <c r="B10" s="16"/>
      <c r="C10" s="17"/>
      <c r="D10" s="18"/>
      <c r="E10" s="18"/>
      <c r="F10" s="18"/>
      <c r="G10" s="19"/>
      <c r="H10" s="18"/>
      <c r="I10" s="162" t="s">
        <v>8</v>
      </c>
      <c r="J10" s="163"/>
      <c r="K10" s="164"/>
      <c r="L10" s="26"/>
      <c r="M10" s="18"/>
      <c r="N10" s="27" t="s">
        <v>17</v>
      </c>
      <c r="O10" s="28">
        <f>IF(I16=1,0,IF(I16=2,0.05,0.1))</f>
        <v>0.05</v>
      </c>
      <c r="P10" s="20"/>
      <c r="Q10" s="92"/>
      <c r="R10" s="92"/>
      <c r="S10" s="92"/>
      <c r="T10" s="92"/>
      <c r="U10" s="92"/>
      <c r="V10" s="92"/>
      <c r="W10" s="92"/>
      <c r="X10" s="92"/>
      <c r="Y10" s="92"/>
      <c r="Z10" s="92"/>
      <c r="AA10" s="4"/>
      <c r="AB10" s="4"/>
      <c r="AC10" s="4"/>
      <c r="AD10" s="4"/>
      <c r="AE10" s="4"/>
      <c r="AF10" s="4"/>
    </row>
    <row r="11" spans="2:32" ht="19" thickBot="1" x14ac:dyDescent="0.5">
      <c r="B11" s="16"/>
      <c r="C11" s="18"/>
      <c r="D11" s="161" t="s">
        <v>2</v>
      </c>
      <c r="E11" s="161"/>
      <c r="F11" s="18"/>
      <c r="G11" s="18"/>
      <c r="H11" s="18"/>
      <c r="I11" s="18"/>
      <c r="J11" s="18"/>
      <c r="K11" s="18"/>
      <c r="L11" s="18"/>
      <c r="M11" s="18"/>
      <c r="N11" s="27" t="s">
        <v>18</v>
      </c>
      <c r="O11" s="28" t="str">
        <f>IF(I10="yes","7%",0)</f>
        <v>7%</v>
      </c>
      <c r="P11" s="20"/>
      <c r="Q11" s="92"/>
      <c r="R11" s="92"/>
      <c r="S11" s="92"/>
      <c r="T11" s="92"/>
      <c r="U11" s="92"/>
      <c r="V11" s="92"/>
      <c r="W11" s="92"/>
      <c r="X11" s="92"/>
      <c r="Y11" s="92"/>
      <c r="Z11" s="92"/>
      <c r="AA11" s="4"/>
      <c r="AB11" s="4"/>
      <c r="AC11" s="4"/>
      <c r="AD11" s="4"/>
      <c r="AE11" s="4"/>
      <c r="AF11" s="4"/>
    </row>
    <row r="12" spans="2:32" ht="19" thickBot="1" x14ac:dyDescent="0.5">
      <c r="B12" s="29"/>
      <c r="C12" s="18"/>
      <c r="D12" s="162"/>
      <c r="E12" s="163"/>
      <c r="F12" s="164"/>
      <c r="G12" s="26"/>
      <c r="H12" s="18"/>
      <c r="I12" s="160" t="s">
        <v>10</v>
      </c>
      <c r="J12" s="160"/>
      <c r="K12" s="18"/>
      <c r="L12" s="18"/>
      <c r="M12" s="17"/>
      <c r="N12" s="27" t="s">
        <v>19</v>
      </c>
      <c r="O12" s="30">
        <f>O9-(O10*O9)+(O11*O9)</f>
        <v>79560</v>
      </c>
      <c r="P12" s="20"/>
      <c r="Q12" s="94"/>
      <c r="R12" s="94"/>
      <c r="S12" s="94"/>
      <c r="T12" s="94"/>
      <c r="U12" s="94"/>
      <c r="V12" s="94"/>
      <c r="W12" s="94"/>
      <c r="X12" s="94"/>
      <c r="Y12" s="92"/>
      <c r="Z12" s="92"/>
      <c r="AA12" s="4"/>
      <c r="AB12" s="4"/>
      <c r="AC12" s="4"/>
      <c r="AD12" s="4"/>
      <c r="AE12" s="4"/>
      <c r="AF12" s="4"/>
    </row>
    <row r="13" spans="2:32" ht="19" thickBot="1" x14ac:dyDescent="0.5">
      <c r="B13" s="16"/>
      <c r="C13" s="18"/>
      <c r="D13" s="18"/>
      <c r="E13" s="18"/>
      <c r="F13" s="18"/>
      <c r="G13" s="18"/>
      <c r="H13" s="18"/>
      <c r="I13" s="162" t="s">
        <v>14</v>
      </c>
      <c r="J13" s="163"/>
      <c r="K13" s="164"/>
      <c r="L13" s="18"/>
      <c r="M13" s="18"/>
      <c r="N13" s="21" t="s">
        <v>20</v>
      </c>
      <c r="O13" s="31">
        <f>O12/12</f>
        <v>6630</v>
      </c>
      <c r="P13" s="20"/>
      <c r="Q13" s="94"/>
      <c r="R13" s="94"/>
      <c r="S13" s="94"/>
      <c r="T13" s="94"/>
      <c r="U13" s="94"/>
      <c r="V13" s="94"/>
      <c r="W13" s="94"/>
      <c r="X13" s="94"/>
      <c r="Y13" s="92"/>
      <c r="Z13" s="92"/>
      <c r="AA13" s="4"/>
      <c r="AB13" s="4"/>
      <c r="AC13" s="4"/>
      <c r="AD13" s="4"/>
      <c r="AE13" s="4"/>
      <c r="AF13" s="4"/>
    </row>
    <row r="14" spans="2:32" ht="19" thickBot="1" x14ac:dyDescent="0.5">
      <c r="B14" s="29"/>
      <c r="C14" s="18"/>
      <c r="D14" s="161" t="s">
        <v>21</v>
      </c>
      <c r="E14" s="161"/>
      <c r="F14" s="18"/>
      <c r="G14" s="19"/>
      <c r="H14" s="18"/>
      <c r="I14" s="18"/>
      <c r="J14" s="18"/>
      <c r="K14" s="18"/>
      <c r="L14" s="18"/>
      <c r="M14" s="17"/>
      <c r="N14" s="18"/>
      <c r="O14" s="18"/>
      <c r="P14" s="20"/>
      <c r="Q14" s="94"/>
      <c r="R14" s="94"/>
      <c r="S14" s="94"/>
      <c r="T14" s="94"/>
      <c r="U14" s="94"/>
      <c r="V14" s="94"/>
      <c r="W14" s="94"/>
      <c r="X14" s="94"/>
      <c r="Y14" s="92"/>
      <c r="Z14" s="92"/>
      <c r="AA14" s="4"/>
      <c r="AB14" s="4"/>
      <c r="AC14" s="4"/>
      <c r="AD14" s="4"/>
      <c r="AE14" s="4"/>
      <c r="AF14" s="4"/>
    </row>
    <row r="15" spans="2:32" ht="19" thickBot="1" x14ac:dyDescent="0.5">
      <c r="B15" s="16"/>
      <c r="C15" s="18"/>
      <c r="D15" s="166"/>
      <c r="E15" s="167"/>
      <c r="F15" s="168"/>
      <c r="G15" s="18"/>
      <c r="H15" s="18"/>
      <c r="I15" s="161" t="s">
        <v>15</v>
      </c>
      <c r="J15" s="161"/>
      <c r="K15" s="161"/>
      <c r="L15" s="18"/>
      <c r="M15" s="18"/>
      <c r="N15" s="18"/>
      <c r="O15" s="18"/>
      <c r="P15" s="20"/>
      <c r="Q15" s="94"/>
      <c r="R15" s="94"/>
      <c r="S15" s="94"/>
      <c r="T15" s="94"/>
      <c r="U15" s="94"/>
      <c r="V15" s="94"/>
      <c r="W15" s="94"/>
      <c r="X15" s="94"/>
      <c r="Y15" s="92"/>
      <c r="Z15" s="92"/>
      <c r="AA15" s="4"/>
      <c r="AB15" s="4"/>
      <c r="AC15" s="4"/>
      <c r="AD15" s="4"/>
      <c r="AE15" s="4"/>
      <c r="AF15" s="4"/>
    </row>
    <row r="16" spans="2:32" ht="19" thickBot="1" x14ac:dyDescent="0.5">
      <c r="B16" s="16"/>
      <c r="C16" s="17"/>
      <c r="D16" s="32"/>
      <c r="E16" s="18"/>
      <c r="F16" s="18"/>
      <c r="G16" s="18"/>
      <c r="H16" s="17"/>
      <c r="I16" s="162">
        <v>2</v>
      </c>
      <c r="J16" s="163"/>
      <c r="K16" s="33"/>
      <c r="L16" s="19"/>
      <c r="M16" s="18"/>
      <c r="N16" s="18"/>
      <c r="O16" s="18"/>
      <c r="P16" s="20"/>
      <c r="Q16" s="94"/>
      <c r="R16" s="4"/>
      <c r="S16" s="4"/>
      <c r="T16" s="94"/>
      <c r="U16" s="94"/>
      <c r="V16" s="94"/>
      <c r="W16" s="94"/>
      <c r="X16" s="94"/>
      <c r="Y16" s="92"/>
      <c r="Z16" s="92"/>
      <c r="AA16" s="4"/>
      <c r="AB16" s="4"/>
      <c r="AC16" s="4"/>
      <c r="AD16" s="4"/>
      <c r="AE16" s="4"/>
      <c r="AF16" s="4"/>
    </row>
    <row r="17" spans="2:32" ht="19" thickBot="1" x14ac:dyDescent="0.5">
      <c r="B17" s="16"/>
      <c r="C17" s="18"/>
      <c r="D17" s="160" t="s">
        <v>5</v>
      </c>
      <c r="E17" s="160"/>
      <c r="F17" s="18"/>
      <c r="G17" s="18"/>
      <c r="H17" s="18"/>
      <c r="I17" s="18"/>
      <c r="J17" s="18"/>
      <c r="K17" s="18"/>
      <c r="L17" s="18"/>
      <c r="M17" s="18"/>
      <c r="N17" s="18"/>
      <c r="O17" s="18"/>
      <c r="P17" s="20"/>
      <c r="Q17" s="94"/>
      <c r="R17" s="4"/>
      <c r="S17" s="4"/>
      <c r="T17" s="94"/>
      <c r="U17" s="94"/>
      <c r="V17" s="94"/>
      <c r="W17" s="94"/>
      <c r="X17" s="94"/>
      <c r="Y17" s="92"/>
      <c r="Z17" s="92"/>
      <c r="AA17" s="4"/>
      <c r="AB17" s="4"/>
      <c r="AC17" s="4"/>
      <c r="AD17" s="4"/>
      <c r="AE17" s="4"/>
      <c r="AF17" s="4"/>
    </row>
    <row r="18" spans="2:32" ht="19" thickBot="1" x14ac:dyDescent="0.5">
      <c r="B18" s="16"/>
      <c r="C18" s="34"/>
      <c r="D18" s="162">
        <v>55</v>
      </c>
      <c r="E18" s="163"/>
      <c r="F18" s="164"/>
      <c r="G18" s="26"/>
      <c r="H18" s="17"/>
      <c r="I18" s="18"/>
      <c r="J18" s="18"/>
      <c r="K18" s="18"/>
      <c r="L18" s="18"/>
      <c r="M18" s="17"/>
      <c r="N18" s="18"/>
      <c r="O18" s="18"/>
      <c r="P18" s="20"/>
      <c r="Q18" s="94"/>
      <c r="R18" s="4"/>
      <c r="S18" s="4"/>
      <c r="T18" s="94"/>
      <c r="U18" s="94"/>
      <c r="V18" s="94"/>
      <c r="W18" s="94"/>
      <c r="X18" s="94"/>
      <c r="Y18" s="92"/>
      <c r="Z18" s="92"/>
      <c r="AA18" s="4"/>
      <c r="AB18" s="4"/>
      <c r="AC18" s="4"/>
      <c r="AD18" s="4"/>
      <c r="AE18" s="4"/>
      <c r="AF18" s="4"/>
    </row>
    <row r="19" spans="2:32" x14ac:dyDescent="0.45">
      <c r="B19" s="16"/>
      <c r="C19" s="18"/>
      <c r="D19" s="18"/>
      <c r="E19" s="18"/>
      <c r="F19" s="18"/>
      <c r="G19" s="18"/>
      <c r="H19" s="18"/>
      <c r="I19" s="18"/>
      <c r="J19" s="18"/>
      <c r="K19" s="18"/>
      <c r="L19" s="18"/>
      <c r="M19" s="18"/>
      <c r="N19" s="18"/>
      <c r="O19" s="18"/>
      <c r="P19" s="20"/>
      <c r="Q19" s="94"/>
      <c r="R19" s="4"/>
      <c r="S19" s="4"/>
      <c r="T19" s="94"/>
      <c r="U19" s="94"/>
      <c r="V19" s="94"/>
      <c r="W19" s="94"/>
      <c r="X19" s="94"/>
      <c r="Y19" s="92"/>
      <c r="Z19" s="92"/>
      <c r="AA19" s="4"/>
      <c r="AB19" s="4"/>
      <c r="AC19" s="4"/>
      <c r="AD19" s="4"/>
      <c r="AE19" s="4"/>
      <c r="AF19" s="4"/>
    </row>
    <row r="20" spans="2:32" ht="19" thickBot="1" x14ac:dyDescent="0.5">
      <c r="B20" s="29"/>
      <c r="C20" s="18"/>
      <c r="D20" s="160" t="s">
        <v>6</v>
      </c>
      <c r="E20" s="160"/>
      <c r="F20" s="18"/>
      <c r="G20" s="18"/>
      <c r="H20" s="17"/>
      <c r="I20" s="18"/>
      <c r="J20" s="18"/>
      <c r="K20" s="18"/>
      <c r="L20" s="18"/>
      <c r="M20" s="17"/>
      <c r="N20" s="18"/>
      <c r="O20" s="18"/>
      <c r="P20" s="20"/>
      <c r="Q20" s="94"/>
      <c r="R20" s="94"/>
      <c r="S20" s="94"/>
      <c r="T20" s="94"/>
      <c r="U20" s="94"/>
      <c r="V20" s="94"/>
      <c r="W20" s="94"/>
      <c r="X20" s="94"/>
      <c r="Y20" s="92"/>
      <c r="Z20" s="92"/>
      <c r="AA20" s="4"/>
      <c r="AB20" s="4"/>
      <c r="AC20" s="4"/>
      <c r="AD20" s="4"/>
      <c r="AE20" s="4"/>
      <c r="AF20" s="4"/>
    </row>
    <row r="21" spans="2:32" ht="19" thickBot="1" x14ac:dyDescent="0.5">
      <c r="B21" s="16"/>
      <c r="C21" s="18"/>
      <c r="D21" s="162"/>
      <c r="E21" s="163"/>
      <c r="F21" s="164"/>
      <c r="G21" s="18"/>
      <c r="H21" s="18"/>
      <c r="I21" s="18"/>
      <c r="J21" s="18"/>
      <c r="K21" s="18"/>
      <c r="L21" s="18"/>
      <c r="M21" s="18"/>
      <c r="N21" s="18"/>
      <c r="O21" s="108" t="s">
        <v>8</v>
      </c>
      <c r="P21" s="107" t="s">
        <v>11</v>
      </c>
      <c r="Q21" s="94"/>
      <c r="R21" s="94"/>
      <c r="S21" s="94"/>
      <c r="T21" s="94"/>
      <c r="U21" s="94"/>
      <c r="V21" s="94"/>
      <c r="W21" s="94"/>
      <c r="X21" s="94"/>
      <c r="Y21" s="92"/>
      <c r="Z21" s="92"/>
      <c r="AA21" s="4"/>
      <c r="AB21" s="4"/>
      <c r="AC21" s="4"/>
      <c r="AD21" s="4"/>
      <c r="AE21" s="4"/>
      <c r="AF21" s="4"/>
    </row>
    <row r="22" spans="2:32" x14ac:dyDescent="0.45">
      <c r="B22" s="16"/>
      <c r="C22" s="17"/>
      <c r="D22" s="18"/>
      <c r="E22" s="18"/>
      <c r="F22" s="18"/>
      <c r="G22" s="19"/>
      <c r="H22" s="18"/>
      <c r="I22" s="18"/>
      <c r="J22" s="18"/>
      <c r="K22" s="18"/>
      <c r="L22" s="18"/>
      <c r="M22" s="17"/>
      <c r="N22" s="18"/>
      <c r="O22" s="108" t="s">
        <v>9</v>
      </c>
      <c r="P22" s="107" t="s">
        <v>12</v>
      </c>
      <c r="Q22" s="94"/>
      <c r="R22" s="94"/>
      <c r="S22" s="94"/>
      <c r="T22" s="94"/>
      <c r="U22" s="94"/>
      <c r="V22" s="94"/>
      <c r="W22" s="94"/>
      <c r="X22" s="94"/>
      <c r="Y22" s="92"/>
      <c r="Z22" s="92"/>
      <c r="AA22" s="4"/>
      <c r="AB22" s="4"/>
      <c r="AC22" s="4"/>
      <c r="AD22" s="4"/>
      <c r="AE22" s="4"/>
      <c r="AF22" s="4"/>
    </row>
    <row r="23" spans="2:32" x14ac:dyDescent="0.45">
      <c r="B23" s="16"/>
      <c r="C23" s="18"/>
      <c r="D23" s="18"/>
      <c r="E23" s="18"/>
      <c r="F23" s="18"/>
      <c r="G23" s="18"/>
      <c r="H23" s="18"/>
      <c r="I23" s="18"/>
      <c r="J23" s="18"/>
      <c r="K23" s="18"/>
      <c r="L23" s="18"/>
      <c r="M23" s="18"/>
      <c r="N23" s="18"/>
      <c r="O23" s="107"/>
      <c r="P23" s="107" t="s">
        <v>13</v>
      </c>
      <c r="Q23" s="92"/>
      <c r="R23" s="92"/>
      <c r="S23" s="92"/>
      <c r="T23" s="92"/>
      <c r="U23" s="92"/>
      <c r="V23" s="92"/>
      <c r="W23" s="92"/>
      <c r="X23" s="92"/>
      <c r="Y23" s="92"/>
      <c r="Z23" s="92"/>
      <c r="AA23" s="4"/>
      <c r="AB23" s="4"/>
      <c r="AC23" s="4"/>
      <c r="AD23" s="4"/>
      <c r="AE23" s="4"/>
      <c r="AF23" s="4"/>
    </row>
    <row r="24" spans="2:32" ht="19" thickBot="1" x14ac:dyDescent="0.5">
      <c r="B24" s="35"/>
      <c r="C24" s="36"/>
      <c r="D24" s="36"/>
      <c r="E24" s="36"/>
      <c r="F24" s="36"/>
      <c r="G24" s="36"/>
      <c r="H24" s="36"/>
      <c r="I24" s="36"/>
      <c r="J24" s="36"/>
      <c r="K24" s="36"/>
      <c r="L24" s="36"/>
      <c r="M24" s="36"/>
      <c r="N24" s="36"/>
      <c r="O24" s="107"/>
      <c r="P24" s="107" t="s">
        <v>14</v>
      </c>
      <c r="Q24" s="92"/>
      <c r="R24" s="92"/>
      <c r="S24" s="92"/>
      <c r="T24" s="92"/>
      <c r="U24" s="92"/>
      <c r="V24" s="92"/>
      <c r="W24" s="92"/>
      <c r="X24" s="92"/>
      <c r="Y24" s="92"/>
      <c r="Z24" s="92"/>
      <c r="AA24" s="4"/>
      <c r="AB24" s="4"/>
      <c r="AC24" s="4"/>
      <c r="AD24" s="4"/>
      <c r="AE24" s="4"/>
      <c r="AF24" s="4"/>
    </row>
    <row r="25" spans="2:32" x14ac:dyDescent="0.45"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92"/>
      <c r="R25" s="92"/>
      <c r="S25" s="92"/>
      <c r="T25" s="92"/>
      <c r="U25" s="92"/>
      <c r="V25" s="92"/>
      <c r="W25" s="92"/>
      <c r="X25" s="92"/>
      <c r="Y25" s="92"/>
      <c r="Z25" s="92"/>
      <c r="AA25" s="4"/>
      <c r="AB25" s="4"/>
      <c r="AC25" s="4"/>
      <c r="AD25" s="4"/>
      <c r="AE25" s="4"/>
      <c r="AF25" s="4"/>
    </row>
    <row r="26" spans="2:32" x14ac:dyDescent="0.45"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92"/>
      <c r="R26" s="92"/>
      <c r="S26" s="92"/>
      <c r="T26" s="92"/>
      <c r="U26" s="92"/>
      <c r="V26" s="92"/>
      <c r="W26" s="92"/>
      <c r="X26" s="92"/>
      <c r="Y26" s="92"/>
      <c r="Z26" s="92"/>
      <c r="AA26" s="4"/>
      <c r="AB26" s="4"/>
      <c r="AC26" s="4"/>
      <c r="AD26" s="4"/>
      <c r="AE26" s="4"/>
      <c r="AF26" s="4"/>
    </row>
    <row r="27" spans="2:32" x14ac:dyDescent="0.45"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92"/>
      <c r="R27" s="92"/>
      <c r="S27" s="92"/>
      <c r="T27" s="92"/>
      <c r="U27" s="92"/>
      <c r="V27" s="92"/>
      <c r="W27" s="92"/>
      <c r="X27" s="92"/>
      <c r="Y27" s="92"/>
      <c r="Z27" s="92"/>
      <c r="AA27" s="4"/>
      <c r="AB27" s="4"/>
      <c r="AC27" s="4"/>
      <c r="AD27" s="4"/>
      <c r="AE27" s="4"/>
      <c r="AF27" s="4"/>
    </row>
    <row r="28" spans="2:32" x14ac:dyDescent="0.45"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92"/>
      <c r="R28" s="92"/>
      <c r="S28" s="92"/>
      <c r="T28" s="92"/>
      <c r="U28" s="92"/>
      <c r="V28" s="92"/>
      <c r="W28" s="92"/>
      <c r="X28" s="92"/>
      <c r="Y28" s="92"/>
      <c r="Z28" s="92"/>
      <c r="AA28" s="4"/>
      <c r="AB28" s="4"/>
      <c r="AC28" s="4"/>
      <c r="AD28" s="4"/>
      <c r="AE28" s="4"/>
      <c r="AF28" s="4"/>
    </row>
    <row r="29" spans="2:32" x14ac:dyDescent="0.45"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92"/>
      <c r="R29" s="92"/>
      <c r="S29" s="92"/>
      <c r="T29" s="92"/>
      <c r="U29" s="92"/>
      <c r="V29" s="92"/>
      <c r="W29" s="92"/>
      <c r="X29" s="92"/>
      <c r="Y29" s="92"/>
      <c r="Z29" s="92"/>
      <c r="AA29" s="4"/>
      <c r="AB29" s="4"/>
      <c r="AC29" s="4"/>
      <c r="AD29" s="4"/>
      <c r="AE29" s="4"/>
      <c r="AF29" s="4"/>
    </row>
    <row r="30" spans="2:32" x14ac:dyDescent="0.45">
      <c r="B30" s="4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92"/>
      <c r="R30" s="92"/>
      <c r="S30" s="92"/>
      <c r="T30" s="92"/>
      <c r="U30" s="92"/>
      <c r="V30" s="92"/>
      <c r="W30" s="92"/>
      <c r="X30" s="92"/>
      <c r="Y30" s="92"/>
      <c r="Z30" s="92"/>
      <c r="AA30" s="4"/>
      <c r="AB30" s="4"/>
      <c r="AC30" s="4"/>
      <c r="AD30" s="4"/>
      <c r="AE30" s="4"/>
      <c r="AF30" s="4"/>
    </row>
    <row r="31" spans="2:32" x14ac:dyDescent="0.45"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92"/>
      <c r="R31" s="92"/>
      <c r="S31" s="92"/>
      <c r="T31" s="92"/>
      <c r="U31" s="92"/>
      <c r="V31" s="92"/>
      <c r="W31" s="92"/>
      <c r="X31" s="92"/>
      <c r="Y31" s="92"/>
      <c r="Z31" s="92"/>
      <c r="AA31" s="4"/>
      <c r="AB31" s="4"/>
      <c r="AC31" s="4"/>
      <c r="AD31" s="4"/>
      <c r="AE31" s="4"/>
      <c r="AF31" s="4"/>
    </row>
    <row r="32" spans="2:32" x14ac:dyDescent="0.45">
      <c r="B32" s="4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  <c r="N32" s="4"/>
      <c r="O32" s="4"/>
      <c r="P32" s="4"/>
      <c r="Q32" s="92"/>
      <c r="R32" s="92"/>
      <c r="S32" s="92"/>
      <c r="T32" s="92"/>
      <c r="U32" s="92"/>
      <c r="V32" s="92"/>
      <c r="W32" s="92"/>
      <c r="X32" s="92"/>
      <c r="Y32" s="92"/>
      <c r="Z32" s="92"/>
      <c r="AA32" s="4"/>
      <c r="AB32" s="4"/>
      <c r="AC32" s="4"/>
      <c r="AD32" s="4"/>
      <c r="AE32" s="4"/>
      <c r="AF32" s="4"/>
    </row>
    <row r="33" spans="2:32" x14ac:dyDescent="0.45">
      <c r="B33" s="4"/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  <c r="N33" s="4"/>
      <c r="O33" s="4"/>
      <c r="P33" s="4"/>
      <c r="Q33" s="92"/>
      <c r="R33" s="92"/>
      <c r="S33" s="92"/>
      <c r="T33" s="92"/>
      <c r="U33" s="92"/>
      <c r="V33" s="92"/>
      <c r="W33" s="92"/>
      <c r="X33" s="92"/>
      <c r="Y33" s="92"/>
      <c r="Z33" s="92"/>
      <c r="AA33" s="4"/>
      <c r="AB33" s="4"/>
      <c r="AC33" s="4"/>
      <c r="AD33" s="4"/>
      <c r="AE33" s="4"/>
      <c r="AF33" s="4"/>
    </row>
    <row r="34" spans="2:32" x14ac:dyDescent="0.45">
      <c r="B34" s="4"/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  <c r="N34" s="4"/>
      <c r="O34" s="4"/>
      <c r="P34" s="4"/>
      <c r="Q34" s="92"/>
      <c r="R34" s="92"/>
      <c r="S34" s="92"/>
      <c r="T34" s="92"/>
      <c r="U34" s="92"/>
      <c r="V34" s="92"/>
      <c r="W34" s="92"/>
      <c r="X34" s="92"/>
      <c r="Y34" s="92"/>
      <c r="Z34" s="92"/>
      <c r="AA34" s="4"/>
      <c r="AB34" s="4"/>
      <c r="AC34" s="4"/>
      <c r="AD34" s="4"/>
      <c r="AE34" s="4"/>
      <c r="AF34" s="4"/>
    </row>
    <row r="35" spans="2:32" x14ac:dyDescent="0.45">
      <c r="B35" s="4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92"/>
      <c r="R35" s="92"/>
      <c r="S35" s="92"/>
      <c r="T35" s="92"/>
      <c r="U35" s="92"/>
      <c r="V35" s="92"/>
      <c r="W35" s="92"/>
      <c r="X35" s="92"/>
      <c r="Y35" s="92"/>
      <c r="Z35" s="92"/>
      <c r="AA35" s="4"/>
      <c r="AB35" s="4"/>
      <c r="AC35" s="4"/>
      <c r="AD35" s="4"/>
      <c r="AE35" s="4"/>
      <c r="AF35" s="4"/>
    </row>
    <row r="36" spans="2:32" x14ac:dyDescent="0.45">
      <c r="B36" s="4"/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  <c r="N36" s="4"/>
      <c r="O36" s="4"/>
      <c r="P36" s="4"/>
      <c r="Q36" s="92"/>
      <c r="R36" s="92"/>
      <c r="S36" s="92"/>
      <c r="T36" s="92"/>
      <c r="U36" s="92"/>
      <c r="V36" s="92"/>
      <c r="W36" s="92"/>
      <c r="X36" s="92"/>
      <c r="Y36" s="92"/>
      <c r="Z36" s="92"/>
      <c r="AA36" s="4"/>
      <c r="AB36" s="4"/>
      <c r="AC36" s="4"/>
      <c r="AD36" s="4"/>
      <c r="AE36" s="4"/>
      <c r="AF36" s="4"/>
    </row>
    <row r="37" spans="2:32" x14ac:dyDescent="0.45">
      <c r="B37" s="4"/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  <c r="N37" s="4"/>
      <c r="O37" s="4"/>
      <c r="P37" s="4"/>
      <c r="Q37" s="92"/>
      <c r="R37" s="92"/>
      <c r="S37" s="92"/>
      <c r="T37" s="92"/>
      <c r="U37" s="92"/>
      <c r="V37" s="92"/>
      <c r="W37" s="92"/>
      <c r="X37" s="92"/>
      <c r="Y37" s="92"/>
      <c r="Z37" s="92"/>
      <c r="AA37" s="4"/>
      <c r="AB37" s="4"/>
      <c r="AC37" s="4"/>
      <c r="AD37" s="4"/>
      <c r="AE37" s="4"/>
      <c r="AF37" s="4"/>
    </row>
  </sheetData>
  <mergeCells count="16">
    <mergeCell ref="D2:O5"/>
    <mergeCell ref="D8:E8"/>
    <mergeCell ref="D11:E11"/>
    <mergeCell ref="D20:E20"/>
    <mergeCell ref="D21:F21"/>
    <mergeCell ref="I8:K9"/>
    <mergeCell ref="I10:K10"/>
    <mergeCell ref="I12:J12"/>
    <mergeCell ref="I13:K13"/>
    <mergeCell ref="I15:K15"/>
    <mergeCell ref="I16:J16"/>
    <mergeCell ref="D12:F12"/>
    <mergeCell ref="D14:E14"/>
    <mergeCell ref="D15:F15"/>
    <mergeCell ref="D17:E17"/>
    <mergeCell ref="D18:F18"/>
  </mergeCells>
  <dataValidations count="4">
    <dataValidation type="textLength" allowBlank="1" showInputMessage="1" showErrorMessage="1" prompt="Enter full name _x000a_" sqref="D12:F12" xr:uid="{00000000-0002-0000-0100-000000000000}">
      <formula1>2</formula1>
      <formula2>20</formula2>
    </dataValidation>
    <dataValidation allowBlank="1" showInputMessage="1" showErrorMessage="1" prompt="10 - digit mobile number" sqref="D15:F15" xr:uid="{00000000-0002-0000-0100-000001000000}"/>
    <dataValidation type="list" allowBlank="1" showInputMessage="1" showErrorMessage="1" sqref="I10" xr:uid="{00000000-0002-0000-0100-000002000000}">
      <formula1>$O$21:$O$22</formula1>
    </dataValidation>
    <dataValidation type="list" allowBlank="1" showInputMessage="1" showErrorMessage="1" prompt="Medical treatment are getting costlier every year, Hence higher the cover better it is." sqref="I13:K13" xr:uid="{00000000-0002-0000-0100-000003000000}">
      <formula1>$P$21:$P$24</formula1>
    </dataValidation>
  </dataValidations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Option Button 5">
              <controlPr defaultSize="0" autoFill="0" autoLine="0" autoPict="0">
                <anchor moveWithCells="1">
                  <from>
                    <xdr:col>3</xdr:col>
                    <xdr:colOff>476250</xdr:colOff>
                    <xdr:row>7</xdr:row>
                    <xdr:rowOff>139700</xdr:rowOff>
                  </from>
                  <to>
                    <xdr:col>4</xdr:col>
                    <xdr:colOff>298450</xdr:colOff>
                    <xdr:row>9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Option Button 6">
              <controlPr defaultSize="0" autoFill="0" autoLine="0" autoPict="0">
                <anchor moveWithCells="1">
                  <from>
                    <xdr:col>4</xdr:col>
                    <xdr:colOff>457200</xdr:colOff>
                    <xdr:row>7</xdr:row>
                    <xdr:rowOff>158750</xdr:rowOff>
                  </from>
                  <to>
                    <xdr:col>5</xdr:col>
                    <xdr:colOff>38100</xdr:colOff>
                    <xdr:row>9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6" name="Spinner 17">
              <controlPr defaultSize="0" autoPict="0">
                <anchor moveWithCells="1" sizeWithCells="1">
                  <from>
                    <xdr:col>10</xdr:col>
                    <xdr:colOff>120650</xdr:colOff>
                    <xdr:row>15</xdr:row>
                    <xdr:rowOff>12700</xdr:rowOff>
                  </from>
                  <to>
                    <xdr:col>10</xdr:col>
                    <xdr:colOff>501650</xdr:colOff>
                    <xdr:row>15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AV74"/>
  <sheetViews>
    <sheetView zoomScale="64" zoomScaleNormal="90" workbookViewId="0"/>
  </sheetViews>
  <sheetFormatPr defaultRowHeight="14" x14ac:dyDescent="0.3"/>
  <cols>
    <col min="1" max="1" width="8.7265625" style="67"/>
    <col min="2" max="2" width="8.453125" style="38" bestFit="1" customWidth="1"/>
    <col min="3" max="3" width="8.7265625" style="38"/>
    <col min="4" max="4" width="6.1796875" style="38" bestFit="1" customWidth="1"/>
    <col min="5" max="5" width="15.1796875" style="38" customWidth="1"/>
    <col min="6" max="6" width="6.90625" style="38" customWidth="1"/>
    <col min="7" max="7" width="13.90625" style="38" customWidth="1"/>
    <col min="8" max="11" width="8.7265625" style="38"/>
    <col min="12" max="12" width="7.6328125" style="38" bestFit="1" customWidth="1"/>
    <col min="13" max="13" width="14.36328125" style="38" bestFit="1" customWidth="1"/>
    <col min="14" max="14" width="7.6328125" style="38" bestFit="1" customWidth="1"/>
    <col min="15" max="15" width="8.7265625" style="38"/>
    <col min="16" max="16" width="14.36328125" style="38" bestFit="1" customWidth="1"/>
    <col min="17" max="17" width="11.81640625" style="38" bestFit="1" customWidth="1"/>
    <col min="18" max="18" width="8.7265625" style="38"/>
    <col min="19" max="19" width="8.7265625" style="38" customWidth="1"/>
    <col min="20" max="27" width="8.7265625" style="38"/>
    <col min="28" max="48" width="8.7265625" style="67"/>
    <col min="49" max="16384" width="8.7265625" style="38"/>
  </cols>
  <sheetData>
    <row r="1" spans="2:29" s="67" customFormat="1" ht="14.5" thickBot="1" x14ac:dyDescent="0.35"/>
    <row r="2" spans="2:29" ht="14.5" customHeight="1" x14ac:dyDescent="0.3">
      <c r="B2" s="67"/>
      <c r="C2" s="67"/>
      <c r="D2" s="67"/>
      <c r="E2" s="67"/>
      <c r="F2" s="67"/>
      <c r="G2" s="67"/>
      <c r="H2" s="169" t="s">
        <v>117</v>
      </c>
      <c r="I2" s="170"/>
      <c r="J2" s="170"/>
      <c r="K2" s="170"/>
      <c r="L2" s="170"/>
      <c r="M2" s="170"/>
      <c r="N2" s="170"/>
      <c r="O2" s="170"/>
      <c r="P2" s="170"/>
      <c r="Q2" s="170"/>
      <c r="R2" s="170"/>
      <c r="S2" s="170"/>
      <c r="T2" s="170"/>
      <c r="U2" s="171"/>
      <c r="V2" s="67"/>
      <c r="W2" s="67"/>
      <c r="X2" s="67"/>
      <c r="Y2" s="67"/>
      <c r="Z2" s="67"/>
      <c r="AA2" s="67"/>
    </row>
    <row r="3" spans="2:29" ht="14" customHeight="1" x14ac:dyDescent="0.3">
      <c r="B3" s="67"/>
      <c r="C3" s="67"/>
      <c r="D3" s="67"/>
      <c r="E3" s="67"/>
      <c r="F3" s="67"/>
      <c r="G3" s="67"/>
      <c r="H3" s="172"/>
      <c r="I3" s="173"/>
      <c r="J3" s="173"/>
      <c r="K3" s="173"/>
      <c r="L3" s="173"/>
      <c r="M3" s="173"/>
      <c r="N3" s="173"/>
      <c r="O3" s="173"/>
      <c r="P3" s="173"/>
      <c r="Q3" s="173"/>
      <c r="R3" s="173"/>
      <c r="S3" s="173"/>
      <c r="T3" s="173"/>
      <c r="U3" s="174"/>
      <c r="V3" s="67"/>
      <c r="W3" s="67"/>
      <c r="X3" s="67"/>
      <c r="Y3" s="67"/>
      <c r="Z3" s="67"/>
      <c r="AA3" s="67"/>
    </row>
    <row r="4" spans="2:29" ht="14" customHeight="1" x14ac:dyDescent="0.3">
      <c r="B4" s="67"/>
      <c r="C4" s="67"/>
      <c r="D4" s="67"/>
      <c r="E4" s="67"/>
      <c r="F4" s="67"/>
      <c r="G4" s="67"/>
      <c r="H4" s="172"/>
      <c r="I4" s="173"/>
      <c r="J4" s="173"/>
      <c r="K4" s="173"/>
      <c r="L4" s="173"/>
      <c r="M4" s="173"/>
      <c r="N4" s="173"/>
      <c r="O4" s="173"/>
      <c r="P4" s="173"/>
      <c r="Q4" s="173"/>
      <c r="R4" s="173"/>
      <c r="S4" s="173"/>
      <c r="T4" s="173"/>
      <c r="U4" s="174"/>
      <c r="V4" s="67"/>
      <c r="W4" s="67"/>
      <c r="X4" s="67"/>
      <c r="Y4" s="67"/>
      <c r="Z4" s="67"/>
      <c r="AA4" s="67"/>
    </row>
    <row r="5" spans="2:29" ht="14.5" customHeight="1" thickBot="1" x14ac:dyDescent="0.35">
      <c r="B5" s="67"/>
      <c r="C5" s="67"/>
      <c r="D5" s="67"/>
      <c r="E5" s="67"/>
      <c r="F5" s="67"/>
      <c r="G5" s="67"/>
      <c r="H5" s="175"/>
      <c r="I5" s="176"/>
      <c r="J5" s="176"/>
      <c r="K5" s="176"/>
      <c r="L5" s="176"/>
      <c r="M5" s="176"/>
      <c r="N5" s="176"/>
      <c r="O5" s="176"/>
      <c r="P5" s="176"/>
      <c r="Q5" s="176"/>
      <c r="R5" s="176"/>
      <c r="S5" s="176"/>
      <c r="T5" s="176"/>
      <c r="U5" s="177"/>
      <c r="V5" s="67"/>
      <c r="W5" s="67"/>
      <c r="X5" s="67"/>
      <c r="Y5" s="67"/>
      <c r="Z5" s="67"/>
      <c r="AA5" s="67"/>
    </row>
    <row r="6" spans="2:29" s="67" customFormat="1" ht="14.5" thickBot="1" x14ac:dyDescent="0.35"/>
    <row r="7" spans="2:29" ht="18" thickBot="1" x14ac:dyDescent="0.4">
      <c r="B7" s="13"/>
      <c r="C7" s="14"/>
      <c r="D7" s="14"/>
      <c r="E7" s="14"/>
      <c r="F7" s="14"/>
      <c r="G7" s="14"/>
      <c r="H7" s="14"/>
      <c r="I7" s="14"/>
      <c r="J7" s="14"/>
      <c r="K7" s="14"/>
      <c r="L7" s="14"/>
      <c r="M7" s="14" t="s">
        <v>35</v>
      </c>
      <c r="N7" s="14"/>
      <c r="O7" s="14"/>
      <c r="P7" s="14"/>
      <c r="Q7" s="14"/>
      <c r="R7" s="14"/>
      <c r="S7" s="14"/>
      <c r="T7" s="14"/>
      <c r="U7" s="14"/>
      <c r="V7" s="14"/>
      <c r="W7" s="14"/>
      <c r="X7" s="14"/>
      <c r="Y7" s="14"/>
      <c r="Z7" s="14"/>
      <c r="AA7" s="15"/>
      <c r="AB7" s="68"/>
      <c r="AC7" s="68"/>
    </row>
    <row r="8" spans="2:29" ht="18" thickBot="1" x14ac:dyDescent="0.4">
      <c r="B8" s="16"/>
      <c r="C8" s="178" t="s">
        <v>3</v>
      </c>
      <c r="D8" s="180"/>
      <c r="E8" s="23"/>
      <c r="F8" s="18"/>
      <c r="G8" s="18"/>
      <c r="H8" s="18"/>
      <c r="I8" s="18"/>
      <c r="J8" s="178" t="s">
        <v>36</v>
      </c>
      <c r="K8" s="179"/>
      <c r="L8" s="180"/>
      <c r="M8" s="39"/>
      <c r="N8" s="18" t="s">
        <v>37</v>
      </c>
      <c r="O8" s="18" t="s">
        <v>38</v>
      </c>
      <c r="P8" s="18"/>
      <c r="Q8" s="18"/>
      <c r="R8" s="18"/>
      <c r="S8" s="18"/>
      <c r="T8" s="18"/>
      <c r="U8" s="18"/>
      <c r="V8" s="18"/>
      <c r="W8" s="18"/>
      <c r="X8" s="18"/>
      <c r="Y8" s="18"/>
      <c r="Z8" s="18"/>
      <c r="AA8" s="20"/>
      <c r="AB8" s="68"/>
      <c r="AC8" s="68"/>
    </row>
    <row r="9" spans="2:29" ht="18" thickBot="1" x14ac:dyDescent="0.4">
      <c r="B9" s="16"/>
      <c r="C9" s="18"/>
      <c r="D9" s="18"/>
      <c r="E9" s="18"/>
      <c r="F9" s="18"/>
      <c r="G9" s="18"/>
      <c r="H9" s="18"/>
      <c r="I9" s="18"/>
      <c r="J9" s="18"/>
      <c r="K9" s="18"/>
      <c r="L9" s="18"/>
      <c r="M9" s="62"/>
      <c r="N9" s="18"/>
      <c r="O9" s="18"/>
      <c r="P9" s="18"/>
      <c r="Q9" s="18"/>
      <c r="R9" s="18"/>
      <c r="S9" s="18"/>
      <c r="T9" s="18"/>
      <c r="U9" s="18"/>
      <c r="V9" s="18"/>
      <c r="W9" s="18"/>
      <c r="X9" s="18"/>
      <c r="Y9" s="18"/>
      <c r="Z9" s="18"/>
      <c r="AA9" s="20"/>
      <c r="AB9" s="68"/>
      <c r="AC9" s="68"/>
    </row>
    <row r="10" spans="2:29" ht="18" thickBot="1" x14ac:dyDescent="0.4">
      <c r="B10" s="16"/>
      <c r="C10" s="178" t="s">
        <v>5</v>
      </c>
      <c r="D10" s="180"/>
      <c r="E10" s="40"/>
      <c r="F10" s="18"/>
      <c r="G10" s="18"/>
      <c r="H10" s="18"/>
      <c r="I10" s="18"/>
      <c r="J10" s="18"/>
      <c r="K10" s="18"/>
      <c r="L10" s="18"/>
      <c r="M10" s="62"/>
      <c r="N10" s="18"/>
      <c r="O10" s="18"/>
      <c r="P10" s="41" t="str">
        <f>M11</f>
        <v>Balanced</v>
      </c>
      <c r="Q10" s="42" t="s">
        <v>39</v>
      </c>
      <c r="R10" s="18"/>
      <c r="S10" s="18"/>
      <c r="T10" s="18"/>
      <c r="U10" s="18"/>
      <c r="V10" s="18"/>
      <c r="W10" s="18"/>
      <c r="X10" s="18"/>
      <c r="Y10" s="18"/>
      <c r="Z10" s="18"/>
      <c r="AA10" s="20"/>
      <c r="AB10" s="68"/>
      <c r="AC10" s="68"/>
    </row>
    <row r="11" spans="2:29" ht="18" thickBot="1" x14ac:dyDescent="0.4">
      <c r="B11" s="16"/>
      <c r="C11" s="18"/>
      <c r="D11" s="18"/>
      <c r="E11" s="18"/>
      <c r="F11" s="18"/>
      <c r="G11" s="18"/>
      <c r="H11" s="18"/>
      <c r="I11" s="18"/>
      <c r="J11" s="178" t="s">
        <v>40</v>
      </c>
      <c r="K11" s="179"/>
      <c r="L11" s="180"/>
      <c r="M11" s="43" t="str">
        <f>IF($F$21=1,"Balanced",IF($F$21=2,"Aggressive","Conservative"))</f>
        <v>Balanced</v>
      </c>
      <c r="N11" s="18"/>
      <c r="O11" s="18"/>
      <c r="P11" s="41" t="s">
        <v>41</v>
      </c>
      <c r="Q11" s="44">
        <f>IF(M11="Balanced",50%,IF(M11="Aggressive",10%,90%))</f>
        <v>0.5</v>
      </c>
      <c r="R11" s="18"/>
      <c r="S11" s="18"/>
      <c r="T11" s="18"/>
      <c r="U11" s="18"/>
      <c r="V11" s="18"/>
      <c r="W11" s="18"/>
      <c r="X11" s="18"/>
      <c r="Y11" s="18"/>
      <c r="Z11" s="18"/>
      <c r="AA11" s="20"/>
      <c r="AB11" s="68"/>
      <c r="AC11" s="68"/>
    </row>
    <row r="12" spans="2:29" ht="18" thickBot="1" x14ac:dyDescent="0.4">
      <c r="B12" s="16"/>
      <c r="C12" s="178" t="s">
        <v>2</v>
      </c>
      <c r="D12" s="180"/>
      <c r="E12" s="23"/>
      <c r="F12" s="18"/>
      <c r="G12" s="18"/>
      <c r="H12" s="18"/>
      <c r="I12" s="18"/>
      <c r="J12" s="18"/>
      <c r="K12" s="18"/>
      <c r="L12" s="18"/>
      <c r="M12" s="62"/>
      <c r="N12" s="18"/>
      <c r="O12" s="18"/>
      <c r="P12" s="45" t="s">
        <v>42</v>
      </c>
      <c r="Q12" s="46">
        <f>IF(M11="Balanced",50%,IF(M11="Aggressive",90%,10%))</f>
        <v>0.5</v>
      </c>
      <c r="R12" s="18"/>
      <c r="S12" s="18"/>
      <c r="T12" s="18"/>
      <c r="U12" s="18"/>
      <c r="V12" s="18"/>
      <c r="W12" s="18"/>
      <c r="X12" s="18"/>
      <c r="Y12" s="18"/>
      <c r="Z12" s="18"/>
      <c r="AA12" s="20"/>
      <c r="AB12" s="68"/>
      <c r="AC12" s="68"/>
    </row>
    <row r="13" spans="2:29" ht="18" thickBot="1" x14ac:dyDescent="0.4">
      <c r="B13" s="16"/>
      <c r="C13" s="18"/>
      <c r="D13" s="18"/>
      <c r="E13" s="18"/>
      <c r="F13" s="18"/>
      <c r="G13" s="18"/>
      <c r="H13" s="18"/>
      <c r="I13" s="18"/>
      <c r="J13" s="162" t="s">
        <v>43</v>
      </c>
      <c r="K13" s="163"/>
      <c r="L13" s="164"/>
      <c r="M13" s="39"/>
      <c r="N13" s="18" t="s">
        <v>44</v>
      </c>
      <c r="O13" s="18"/>
      <c r="P13" s="18"/>
      <c r="Q13" s="18"/>
      <c r="R13" s="18"/>
      <c r="S13" s="18"/>
      <c r="T13" s="18"/>
      <c r="U13" s="18"/>
      <c r="V13" s="18"/>
      <c r="W13" s="18"/>
      <c r="X13" s="18"/>
      <c r="Y13" s="18"/>
      <c r="Z13" s="18"/>
      <c r="AA13" s="20"/>
      <c r="AB13" s="68"/>
      <c r="AC13" s="68"/>
    </row>
    <row r="14" spans="2:29" ht="18" thickBot="1" x14ac:dyDescent="0.4">
      <c r="B14" s="16"/>
      <c r="C14" s="178" t="s">
        <v>45</v>
      </c>
      <c r="D14" s="180"/>
      <c r="E14" s="23"/>
      <c r="F14" s="18"/>
      <c r="G14" s="18"/>
      <c r="H14" s="18"/>
      <c r="I14" s="18"/>
      <c r="J14" s="18"/>
      <c r="K14" s="18"/>
      <c r="L14" s="18"/>
      <c r="M14" s="62"/>
      <c r="N14" s="18"/>
      <c r="O14" s="18"/>
      <c r="P14" s="18"/>
      <c r="Q14" s="18"/>
      <c r="R14" s="18"/>
      <c r="S14" s="18"/>
      <c r="T14" s="18"/>
      <c r="U14" s="18"/>
      <c r="V14" s="18"/>
      <c r="W14" s="18"/>
      <c r="X14" s="18"/>
      <c r="Y14" s="18"/>
      <c r="Z14" s="18"/>
      <c r="AA14" s="20"/>
      <c r="AB14" s="68"/>
      <c r="AC14" s="68"/>
    </row>
    <row r="15" spans="2:29" ht="18" thickBot="1" x14ac:dyDescent="0.4">
      <c r="B15" s="16"/>
      <c r="C15" s="18"/>
      <c r="D15" s="18"/>
      <c r="E15" s="18"/>
      <c r="F15" s="18"/>
      <c r="G15" s="18"/>
      <c r="H15" s="18"/>
      <c r="I15" s="18"/>
      <c r="J15" s="162" t="s">
        <v>46</v>
      </c>
      <c r="K15" s="163"/>
      <c r="L15" s="164"/>
      <c r="M15" s="47">
        <f>$M$13*$M$8</f>
        <v>0</v>
      </c>
      <c r="N15" s="18"/>
      <c r="O15" s="18"/>
      <c r="P15" s="18"/>
      <c r="Q15" s="18"/>
      <c r="R15" s="18"/>
      <c r="S15" s="18"/>
      <c r="T15" s="18"/>
      <c r="U15" s="18"/>
      <c r="V15" s="18"/>
      <c r="W15" s="18"/>
      <c r="X15" s="18"/>
      <c r="Y15" s="18"/>
      <c r="Z15" s="18"/>
      <c r="AA15" s="20"/>
      <c r="AB15" s="68"/>
      <c r="AC15" s="68"/>
    </row>
    <row r="16" spans="2:29" ht="18" thickBot="1" x14ac:dyDescent="0.4">
      <c r="B16" s="16"/>
      <c r="C16" s="18"/>
      <c r="D16" s="18"/>
      <c r="E16" s="18"/>
      <c r="F16" s="18"/>
      <c r="G16" s="18"/>
      <c r="H16" s="18"/>
      <c r="I16" s="18"/>
      <c r="J16" s="18"/>
      <c r="K16" s="18"/>
      <c r="L16" s="18"/>
      <c r="M16" s="18"/>
      <c r="N16" s="18"/>
      <c r="O16" s="18"/>
      <c r="P16" s="18"/>
      <c r="Q16" s="18"/>
      <c r="R16" s="18"/>
      <c r="S16" s="18"/>
      <c r="T16" s="18"/>
      <c r="U16" s="18"/>
      <c r="V16" s="18"/>
      <c r="W16" s="18"/>
      <c r="X16" s="18"/>
      <c r="Y16" s="18"/>
      <c r="Z16" s="18"/>
      <c r="AA16" s="20"/>
      <c r="AB16" s="68"/>
      <c r="AC16" s="68"/>
    </row>
    <row r="17" spans="2:29" ht="15" customHeight="1" thickBot="1" x14ac:dyDescent="0.4">
      <c r="B17" s="16"/>
      <c r="C17" s="183" t="s">
        <v>47</v>
      </c>
      <c r="D17" s="184"/>
      <c r="E17" s="185"/>
      <c r="F17" s="24"/>
      <c r="G17" s="48"/>
      <c r="H17" s="18"/>
      <c r="I17" s="18"/>
      <c r="J17" s="178" t="s">
        <v>48</v>
      </c>
      <c r="K17" s="179"/>
      <c r="L17" s="180"/>
      <c r="M17" s="18"/>
      <c r="N17" s="18"/>
      <c r="O17" s="18"/>
      <c r="P17" s="18"/>
      <c r="Q17" s="18"/>
      <c r="R17" s="18"/>
      <c r="S17" s="18"/>
      <c r="T17" s="18"/>
      <c r="U17" s="18"/>
      <c r="V17" s="18"/>
      <c r="W17" s="18"/>
      <c r="X17" s="18"/>
      <c r="Y17" s="18"/>
      <c r="Z17" s="18"/>
      <c r="AA17" s="20"/>
      <c r="AB17" s="68"/>
      <c r="AC17" s="68"/>
    </row>
    <row r="18" spans="2:29" ht="17.5" x14ac:dyDescent="0.35">
      <c r="B18" s="16"/>
      <c r="C18" s="186"/>
      <c r="D18" s="187"/>
      <c r="E18" s="188"/>
      <c r="F18" s="27"/>
      <c r="G18" s="49"/>
      <c r="H18" s="18"/>
      <c r="I18" s="18"/>
      <c r="J18" s="181" t="s">
        <v>49</v>
      </c>
      <c r="K18" s="182"/>
      <c r="L18" s="50">
        <v>0.04</v>
      </c>
      <c r="M18" s="18"/>
      <c r="N18" s="18"/>
      <c r="O18" s="18"/>
      <c r="P18" s="18"/>
      <c r="Q18" s="18"/>
      <c r="R18" s="18"/>
      <c r="S18" s="18"/>
      <c r="T18" s="18"/>
      <c r="U18" s="18"/>
      <c r="V18" s="18"/>
      <c r="W18" s="18"/>
      <c r="X18" s="18"/>
      <c r="Y18" s="18"/>
      <c r="Z18" s="18"/>
      <c r="AA18" s="20"/>
      <c r="AB18" s="68"/>
      <c r="AC18" s="68"/>
    </row>
    <row r="19" spans="2:29" ht="18" thickBot="1" x14ac:dyDescent="0.4">
      <c r="B19" s="16"/>
      <c r="C19" s="189"/>
      <c r="D19" s="190"/>
      <c r="E19" s="191"/>
      <c r="F19" s="51"/>
      <c r="G19" s="52"/>
      <c r="H19" s="18"/>
      <c r="I19" s="18"/>
      <c r="J19" s="192" t="s">
        <v>50</v>
      </c>
      <c r="K19" s="161"/>
      <c r="L19" s="53">
        <v>0.09</v>
      </c>
      <c r="M19" s="18"/>
      <c r="N19" s="18"/>
      <c r="O19" s="18"/>
      <c r="P19" s="18"/>
      <c r="Q19" s="18"/>
      <c r="R19" s="18"/>
      <c r="S19" s="18"/>
      <c r="T19" s="18"/>
      <c r="U19" s="18"/>
      <c r="V19" s="18"/>
      <c r="W19" s="18"/>
      <c r="X19" s="18"/>
      <c r="Y19" s="18"/>
      <c r="Z19" s="18"/>
      <c r="AA19" s="20"/>
      <c r="AB19" s="68"/>
      <c r="AC19" s="68"/>
    </row>
    <row r="20" spans="2:29" ht="18" thickBot="1" x14ac:dyDescent="0.4">
      <c r="B20" s="16"/>
      <c r="C20" s="18"/>
      <c r="D20" s="18"/>
      <c r="E20" s="18"/>
      <c r="F20" s="18"/>
      <c r="G20" s="18"/>
      <c r="H20" s="18"/>
      <c r="I20" s="18"/>
      <c r="J20" s="18"/>
      <c r="K20" s="18"/>
      <c r="L20" s="18"/>
      <c r="M20" s="18"/>
      <c r="N20" s="18"/>
      <c r="O20" s="18"/>
      <c r="P20" s="18"/>
      <c r="Q20" s="18"/>
      <c r="R20" s="18"/>
      <c r="S20" s="18"/>
      <c r="T20" s="18"/>
      <c r="U20" s="18"/>
      <c r="V20" s="18"/>
      <c r="W20" s="18"/>
      <c r="X20" s="18"/>
      <c r="Y20" s="18"/>
      <c r="Z20" s="18"/>
      <c r="AA20" s="20"/>
      <c r="AB20" s="68"/>
      <c r="AC20" s="68"/>
    </row>
    <row r="21" spans="2:29" ht="18" thickBot="1" x14ac:dyDescent="0.4">
      <c r="B21" s="16"/>
      <c r="C21" s="162" t="s">
        <v>51</v>
      </c>
      <c r="D21" s="163"/>
      <c r="E21" s="164"/>
      <c r="F21" s="54">
        <v>1</v>
      </c>
      <c r="G21" s="18"/>
      <c r="H21" s="18"/>
      <c r="I21" s="18"/>
      <c r="J21" s="18"/>
      <c r="K21" s="18"/>
      <c r="L21" s="18"/>
      <c r="M21" s="18"/>
      <c r="N21" s="18"/>
      <c r="O21" s="18"/>
      <c r="P21" s="18"/>
      <c r="Q21" s="18"/>
      <c r="R21" s="18"/>
      <c r="S21" s="18"/>
      <c r="T21" s="18"/>
      <c r="U21" s="18"/>
      <c r="V21" s="18"/>
      <c r="W21" s="18"/>
      <c r="X21" s="18"/>
      <c r="Y21" s="18"/>
      <c r="Z21" s="18"/>
      <c r="AA21" s="20"/>
      <c r="AB21" s="68"/>
      <c r="AC21" s="68"/>
    </row>
    <row r="22" spans="2:29" ht="17.5" x14ac:dyDescent="0.35">
      <c r="B22" s="16"/>
      <c r="C22" s="18"/>
      <c r="D22" s="18"/>
      <c r="E22" s="18"/>
      <c r="F22" s="18"/>
      <c r="G22" s="18"/>
      <c r="H22" s="18"/>
      <c r="I22" s="18"/>
      <c r="J22" s="18"/>
      <c r="K22" s="18"/>
      <c r="L22" s="18"/>
      <c r="M22" s="18"/>
      <c r="N22" s="18"/>
      <c r="O22" s="18"/>
      <c r="P22" s="18"/>
      <c r="Q22" s="18"/>
      <c r="R22" s="18"/>
      <c r="S22" s="18"/>
      <c r="T22" s="18"/>
      <c r="U22" s="18"/>
      <c r="V22" s="18"/>
      <c r="W22" s="18"/>
      <c r="X22" s="18"/>
      <c r="Y22" s="18"/>
      <c r="Z22" s="18"/>
      <c r="AA22" s="20"/>
      <c r="AB22" s="68"/>
      <c r="AC22" s="68"/>
    </row>
    <row r="23" spans="2:29" ht="18" thickBot="1" x14ac:dyDescent="0.4">
      <c r="B23" s="16"/>
      <c r="C23" s="18"/>
      <c r="D23" s="18"/>
      <c r="E23" s="18"/>
      <c r="F23" s="18"/>
      <c r="G23" s="18"/>
      <c r="H23" s="18"/>
      <c r="I23" s="18"/>
      <c r="J23" s="18"/>
      <c r="K23" s="18"/>
      <c r="L23" s="18"/>
      <c r="M23" s="18"/>
      <c r="N23" s="18"/>
      <c r="O23" s="18"/>
      <c r="P23" s="18"/>
      <c r="Q23" s="18"/>
      <c r="R23" s="18"/>
      <c r="S23" s="18"/>
      <c r="T23" s="18"/>
      <c r="U23" s="18"/>
      <c r="V23" s="18"/>
      <c r="W23" s="18"/>
      <c r="X23" s="18"/>
      <c r="Y23" s="18"/>
      <c r="Z23" s="18"/>
      <c r="AA23" s="20"/>
      <c r="AB23" s="68"/>
      <c r="AC23" s="68"/>
    </row>
    <row r="24" spans="2:29" ht="18" thickBot="1" x14ac:dyDescent="0.4">
      <c r="B24" s="64"/>
      <c r="C24" s="18" t="s">
        <v>0</v>
      </c>
      <c r="D24" s="18"/>
      <c r="E24" s="18"/>
      <c r="F24" s="18"/>
      <c r="G24" s="18"/>
      <c r="H24" s="18"/>
      <c r="I24" s="18"/>
      <c r="J24" s="162" t="s">
        <v>52</v>
      </c>
      <c r="K24" s="163"/>
      <c r="L24" s="163"/>
      <c r="M24" s="163"/>
      <c r="N24" s="163"/>
      <c r="O24" s="163"/>
      <c r="P24" s="163"/>
      <c r="Q24" s="163"/>
      <c r="R24" s="163"/>
      <c r="S24" s="163"/>
      <c r="T24" s="164"/>
      <c r="U24" s="18"/>
      <c r="V24" s="18"/>
      <c r="W24" s="18"/>
      <c r="X24" s="18"/>
      <c r="Y24" s="18"/>
      <c r="Z24" s="18"/>
      <c r="AA24" s="20"/>
      <c r="AB24" s="68"/>
      <c r="AC24" s="68"/>
    </row>
    <row r="25" spans="2:29" ht="18" thickBot="1" x14ac:dyDescent="0.4">
      <c r="B25" s="64"/>
      <c r="C25" s="18" t="s">
        <v>1</v>
      </c>
      <c r="D25" s="18"/>
      <c r="E25" s="18"/>
      <c r="F25" s="18"/>
      <c r="G25" s="18"/>
      <c r="H25" s="18"/>
      <c r="I25" s="18"/>
      <c r="J25" s="162" t="s">
        <v>53</v>
      </c>
      <c r="K25" s="163"/>
      <c r="L25" s="163"/>
      <c r="M25" s="164"/>
      <c r="N25" s="18"/>
      <c r="O25" s="162" t="s">
        <v>54</v>
      </c>
      <c r="P25" s="163"/>
      <c r="Q25" s="163"/>
      <c r="R25" s="163"/>
      <c r="S25" s="163"/>
      <c r="T25" s="164"/>
      <c r="U25" s="18"/>
      <c r="V25" s="18"/>
      <c r="W25" s="18"/>
      <c r="X25" s="18"/>
      <c r="Y25" s="18"/>
      <c r="Z25" s="18"/>
      <c r="AA25" s="20"/>
      <c r="AB25" s="68"/>
      <c r="AC25" s="68"/>
    </row>
    <row r="26" spans="2:29" ht="18" thickBot="1" x14ac:dyDescent="0.4">
      <c r="B26" s="64"/>
      <c r="C26" s="18"/>
      <c r="D26" s="18"/>
      <c r="E26" s="18"/>
      <c r="F26" s="18"/>
      <c r="G26" s="18"/>
      <c r="H26" s="18"/>
      <c r="I26" s="18"/>
      <c r="J26" s="27"/>
      <c r="K26" s="18"/>
      <c r="L26" s="18"/>
      <c r="M26" s="49"/>
      <c r="N26" s="18"/>
      <c r="O26" s="27"/>
      <c r="P26" s="18"/>
      <c r="Q26" s="18"/>
      <c r="R26" s="18"/>
      <c r="S26" s="18"/>
      <c r="T26" s="49"/>
      <c r="U26" s="18"/>
      <c r="V26" s="18"/>
      <c r="W26" s="18"/>
      <c r="X26" s="18"/>
      <c r="Y26" s="18"/>
      <c r="Z26" s="18"/>
      <c r="AA26" s="20"/>
      <c r="AB26" s="68"/>
      <c r="AC26" s="68"/>
    </row>
    <row r="27" spans="2:29" ht="18" thickBot="1" x14ac:dyDescent="0.4">
      <c r="B27" s="64"/>
      <c r="C27" s="62">
        <v>10</v>
      </c>
      <c r="D27" s="18"/>
      <c r="E27" s="63">
        <v>0.1</v>
      </c>
      <c r="F27" s="18"/>
      <c r="G27" s="18"/>
      <c r="H27" s="18"/>
      <c r="I27" s="18"/>
      <c r="J27" s="27"/>
      <c r="K27" s="18"/>
      <c r="L27" s="18"/>
      <c r="M27" s="49"/>
      <c r="N27" s="55" t="s">
        <v>55</v>
      </c>
      <c r="O27" s="162" t="s">
        <v>41</v>
      </c>
      <c r="P27" s="164"/>
      <c r="Q27" s="56">
        <v>1</v>
      </c>
      <c r="R27" s="18"/>
      <c r="S27" s="18"/>
      <c r="T27" s="49"/>
      <c r="U27" s="18"/>
      <c r="V27" s="18"/>
      <c r="W27" s="18"/>
      <c r="X27" s="18"/>
      <c r="Y27" s="18"/>
      <c r="Z27" s="18"/>
      <c r="AA27" s="20"/>
      <c r="AB27" s="68"/>
      <c r="AC27" s="68"/>
    </row>
    <row r="28" spans="2:29" ht="18" thickBot="1" x14ac:dyDescent="0.4">
      <c r="B28" s="64"/>
      <c r="C28" s="62">
        <v>11</v>
      </c>
      <c r="D28" s="18"/>
      <c r="E28" s="63">
        <v>0.2</v>
      </c>
      <c r="F28" s="18"/>
      <c r="G28" s="18"/>
      <c r="H28" s="18"/>
      <c r="I28" s="18"/>
      <c r="J28" s="27"/>
      <c r="K28" s="18"/>
      <c r="L28" s="18"/>
      <c r="M28" s="49"/>
      <c r="N28" s="55"/>
      <c r="O28" s="192" t="s">
        <v>56</v>
      </c>
      <c r="P28" s="193"/>
      <c r="Q28" s="53">
        <f>100%-$Q$27</f>
        <v>0</v>
      </c>
      <c r="R28" s="18"/>
      <c r="S28" s="18"/>
      <c r="T28" s="49"/>
      <c r="U28" s="18"/>
      <c r="V28" s="18"/>
      <c r="W28" s="18"/>
      <c r="X28" s="18"/>
      <c r="Y28" s="18"/>
      <c r="Z28" s="18"/>
      <c r="AA28" s="20"/>
      <c r="AB28" s="68"/>
      <c r="AC28" s="68"/>
    </row>
    <row r="29" spans="2:29" ht="18" thickBot="1" x14ac:dyDescent="0.4">
      <c r="B29" s="64"/>
      <c r="C29" s="62">
        <v>12</v>
      </c>
      <c r="D29" s="18"/>
      <c r="E29" s="63">
        <v>0.3</v>
      </c>
      <c r="F29" s="18"/>
      <c r="G29" s="18"/>
      <c r="H29" s="18"/>
      <c r="I29" s="18"/>
      <c r="J29" s="27"/>
      <c r="K29" s="18"/>
      <c r="L29" s="18"/>
      <c r="M29" s="49"/>
      <c r="N29" s="55"/>
      <c r="O29" s="27"/>
      <c r="P29" s="18"/>
      <c r="Q29" s="18"/>
      <c r="R29" s="18"/>
      <c r="S29" s="18"/>
      <c r="T29" s="49"/>
      <c r="U29" s="18"/>
      <c r="V29" s="18"/>
      <c r="W29" s="18"/>
      <c r="X29" s="18"/>
      <c r="Y29" s="18"/>
      <c r="Z29" s="18"/>
      <c r="AA29" s="20"/>
      <c r="AB29" s="68"/>
      <c r="AC29" s="68"/>
    </row>
    <row r="30" spans="2:29" ht="18" thickBot="1" x14ac:dyDescent="0.4">
      <c r="B30" s="64"/>
      <c r="C30" s="62">
        <v>13</v>
      </c>
      <c r="D30" s="18"/>
      <c r="E30" s="63">
        <v>0.4</v>
      </c>
      <c r="F30" s="18"/>
      <c r="G30" s="18"/>
      <c r="H30" s="18"/>
      <c r="I30" s="18"/>
      <c r="J30" s="162" t="s">
        <v>48</v>
      </c>
      <c r="K30" s="164"/>
      <c r="L30" s="57">
        <f>SUMPRODUCT($L$18:$L$19,$Q$11:$Q$12)</f>
        <v>6.5000000000000002E-2</v>
      </c>
      <c r="M30" s="49"/>
      <c r="N30" s="18"/>
      <c r="O30" s="162" t="s">
        <v>48</v>
      </c>
      <c r="P30" s="164"/>
      <c r="Q30" s="57">
        <f>SUMPRODUCT($L$18:$L$19,$Q$27:$Q$28)</f>
        <v>0.04</v>
      </c>
      <c r="R30" s="18"/>
      <c r="S30" s="18"/>
      <c r="T30" s="49"/>
      <c r="U30" s="18"/>
      <c r="V30" s="18"/>
      <c r="W30" s="18"/>
      <c r="X30" s="18"/>
      <c r="Y30" s="18"/>
      <c r="Z30" s="18"/>
      <c r="AA30" s="20"/>
      <c r="AB30" s="68"/>
      <c r="AC30" s="68"/>
    </row>
    <row r="31" spans="2:29" ht="18" thickBot="1" x14ac:dyDescent="0.4">
      <c r="B31" s="64"/>
      <c r="C31" s="62">
        <v>14</v>
      </c>
      <c r="D31" s="18"/>
      <c r="E31" s="63">
        <v>0.5</v>
      </c>
      <c r="F31" s="18"/>
      <c r="G31" s="18"/>
      <c r="H31" s="18"/>
      <c r="I31" s="18"/>
      <c r="J31" s="27"/>
      <c r="K31" s="18"/>
      <c r="L31" s="18"/>
      <c r="M31" s="49"/>
      <c r="N31" s="18"/>
      <c r="O31" s="27"/>
      <c r="P31" s="18"/>
      <c r="Q31" s="18"/>
      <c r="R31" s="18"/>
      <c r="S31" s="18"/>
      <c r="T31" s="49"/>
      <c r="U31" s="18"/>
      <c r="V31" s="18"/>
      <c r="W31" s="18"/>
      <c r="X31" s="18"/>
      <c r="Y31" s="18"/>
      <c r="Z31" s="18"/>
      <c r="AA31" s="20"/>
      <c r="AB31" s="68"/>
      <c r="AC31" s="68"/>
    </row>
    <row r="32" spans="2:29" ht="18" thickBot="1" x14ac:dyDescent="0.4">
      <c r="B32" s="64"/>
      <c r="C32" s="62">
        <v>15</v>
      </c>
      <c r="D32" s="18"/>
      <c r="E32" s="63">
        <v>0.6</v>
      </c>
      <c r="F32" s="18"/>
      <c r="G32" s="18"/>
      <c r="H32" s="18"/>
      <c r="I32" s="18"/>
      <c r="J32" s="162" t="s">
        <v>57</v>
      </c>
      <c r="K32" s="164"/>
      <c r="L32" s="58">
        <f>-FV($L$30,$M$13,$M$8,0,0)</f>
        <v>0</v>
      </c>
      <c r="M32" s="49"/>
      <c r="N32" s="18"/>
      <c r="O32" s="162" t="s">
        <v>57</v>
      </c>
      <c r="P32" s="164"/>
      <c r="Q32" s="58">
        <f>FV($Q$30,$M$13,-$M$8,0,0)</f>
        <v>0</v>
      </c>
      <c r="R32" s="18"/>
      <c r="S32" s="18"/>
      <c r="T32" s="49"/>
      <c r="U32" s="18"/>
      <c r="V32" s="18"/>
      <c r="W32" s="18"/>
      <c r="X32" s="18"/>
      <c r="Y32" s="18"/>
      <c r="Z32" s="18"/>
      <c r="AA32" s="20"/>
      <c r="AB32" s="68"/>
      <c r="AC32" s="68"/>
    </row>
    <row r="33" spans="2:29" ht="17.5" x14ac:dyDescent="0.35">
      <c r="B33" s="64"/>
      <c r="C33" s="62">
        <v>16</v>
      </c>
      <c r="D33" s="18"/>
      <c r="E33" s="63">
        <v>0.7</v>
      </c>
      <c r="F33" s="18"/>
      <c r="G33" s="18"/>
      <c r="H33" s="18"/>
      <c r="I33" s="18"/>
      <c r="J33" s="27"/>
      <c r="K33" s="18"/>
      <c r="L33" s="18"/>
      <c r="M33" s="49"/>
      <c r="N33" s="18"/>
      <c r="O33" s="27"/>
      <c r="P33" s="18"/>
      <c r="Q33" s="18"/>
      <c r="R33" s="18"/>
      <c r="S33" s="18"/>
      <c r="T33" s="49"/>
      <c r="U33" s="18"/>
      <c r="V33" s="18"/>
      <c r="W33" s="18"/>
      <c r="X33" s="18"/>
      <c r="Y33" s="18"/>
      <c r="Z33" s="18"/>
      <c r="AA33" s="20"/>
      <c r="AB33" s="68"/>
      <c r="AC33" s="68"/>
    </row>
    <row r="34" spans="2:29" ht="17.5" x14ac:dyDescent="0.35">
      <c r="B34" s="64"/>
      <c r="C34" s="62">
        <v>17</v>
      </c>
      <c r="D34" s="18"/>
      <c r="E34" s="63">
        <v>0.8</v>
      </c>
      <c r="F34" s="18"/>
      <c r="G34" s="18"/>
      <c r="H34" s="18"/>
      <c r="I34" s="18"/>
      <c r="J34" s="27"/>
      <c r="K34" s="18"/>
      <c r="L34" s="18"/>
      <c r="M34" s="49"/>
      <c r="N34" s="18"/>
      <c r="O34" s="27"/>
      <c r="P34" s="18"/>
      <c r="Q34" s="18"/>
      <c r="R34" s="18"/>
      <c r="S34" s="18"/>
      <c r="T34" s="49"/>
      <c r="U34" s="18"/>
      <c r="V34" s="18"/>
      <c r="W34" s="18"/>
      <c r="X34" s="18"/>
      <c r="Y34" s="18"/>
      <c r="Z34" s="18"/>
      <c r="AA34" s="20"/>
      <c r="AB34" s="68"/>
      <c r="AC34" s="68"/>
    </row>
    <row r="35" spans="2:29" ht="17.5" x14ac:dyDescent="0.35">
      <c r="B35" s="64"/>
      <c r="C35" s="62">
        <v>18</v>
      </c>
      <c r="D35" s="18"/>
      <c r="E35" s="63">
        <v>0.9</v>
      </c>
      <c r="F35" s="18"/>
      <c r="G35" s="18"/>
      <c r="H35" s="18"/>
      <c r="I35" s="18"/>
      <c r="J35" s="27"/>
      <c r="K35" s="18"/>
      <c r="L35" s="18"/>
      <c r="M35" s="49"/>
      <c r="N35" s="18"/>
      <c r="O35" s="27"/>
      <c r="P35" s="18"/>
      <c r="Q35" s="18"/>
      <c r="R35" s="18"/>
      <c r="S35" s="18"/>
      <c r="T35" s="49"/>
      <c r="U35" s="18"/>
      <c r="V35" s="18"/>
      <c r="W35" s="18"/>
      <c r="X35" s="18"/>
      <c r="Y35" s="18"/>
      <c r="Z35" s="18"/>
      <c r="AA35" s="20"/>
      <c r="AB35" s="68"/>
      <c r="AC35" s="68"/>
    </row>
    <row r="36" spans="2:29" ht="18" thickBot="1" x14ac:dyDescent="0.4">
      <c r="B36" s="64"/>
      <c r="C36" s="62">
        <v>19</v>
      </c>
      <c r="D36" s="18"/>
      <c r="E36" s="63">
        <v>1</v>
      </c>
      <c r="F36" s="18"/>
      <c r="G36" s="18"/>
      <c r="H36" s="18"/>
      <c r="I36" s="18"/>
      <c r="J36" s="51"/>
      <c r="K36" s="59"/>
      <c r="L36" s="59"/>
      <c r="M36" s="52"/>
      <c r="N36" s="18"/>
      <c r="O36" s="51"/>
      <c r="P36" s="59"/>
      <c r="Q36" s="59"/>
      <c r="R36" s="59"/>
      <c r="S36" s="59"/>
      <c r="T36" s="52"/>
      <c r="U36" s="18"/>
      <c r="V36" s="18"/>
      <c r="W36" s="18"/>
      <c r="X36" s="18"/>
      <c r="Y36" s="18"/>
      <c r="Z36" s="18"/>
      <c r="AA36" s="20"/>
      <c r="AB36" s="68"/>
      <c r="AC36" s="68"/>
    </row>
    <row r="37" spans="2:29" ht="18" thickBot="1" x14ac:dyDescent="0.4">
      <c r="B37" s="64"/>
      <c r="C37" s="62">
        <v>20</v>
      </c>
      <c r="D37" s="18"/>
      <c r="E37" s="18"/>
      <c r="F37" s="18"/>
      <c r="G37" s="18"/>
      <c r="H37" s="18"/>
      <c r="I37" s="18"/>
      <c r="J37" s="162" t="s">
        <v>58</v>
      </c>
      <c r="K37" s="163"/>
      <c r="L37" s="163"/>
      <c r="M37" s="163"/>
      <c r="N37" s="163"/>
      <c r="O37" s="163"/>
      <c r="P37" s="163"/>
      <c r="Q37" s="163"/>
      <c r="R37" s="163"/>
      <c r="S37" s="163"/>
      <c r="T37" s="164"/>
      <c r="U37" s="18"/>
      <c r="V37" s="18"/>
      <c r="W37" s="18"/>
      <c r="X37" s="18"/>
      <c r="Y37" s="18"/>
      <c r="Z37" s="18"/>
      <c r="AA37" s="20"/>
      <c r="AB37" s="68"/>
      <c r="AC37" s="68"/>
    </row>
    <row r="38" spans="2:29" ht="17.5" x14ac:dyDescent="0.35">
      <c r="B38" s="64"/>
      <c r="C38" s="62">
        <v>21</v>
      </c>
      <c r="D38" s="18"/>
      <c r="E38" s="18"/>
      <c r="F38" s="18"/>
      <c r="G38" s="18"/>
      <c r="H38" s="18"/>
      <c r="I38" s="18"/>
      <c r="J38" s="27"/>
      <c r="K38" s="18"/>
      <c r="L38" s="18"/>
      <c r="M38" s="18"/>
      <c r="N38" s="18"/>
      <c r="O38" s="18"/>
      <c r="P38" s="18"/>
      <c r="Q38" s="18"/>
      <c r="R38" s="18"/>
      <c r="S38" s="18"/>
      <c r="T38" s="49"/>
      <c r="U38" s="18"/>
      <c r="V38" s="18"/>
      <c r="W38" s="18"/>
      <c r="X38" s="18"/>
      <c r="Y38" s="18"/>
      <c r="Z38" s="18"/>
      <c r="AA38" s="20"/>
      <c r="AB38" s="68"/>
      <c r="AC38" s="68"/>
    </row>
    <row r="39" spans="2:29" ht="17.5" x14ac:dyDescent="0.35">
      <c r="B39" s="64"/>
      <c r="C39" s="62">
        <v>22</v>
      </c>
      <c r="D39" s="18"/>
      <c r="E39" s="18"/>
      <c r="F39" s="18"/>
      <c r="G39" s="18"/>
      <c r="H39" s="18"/>
      <c r="I39" s="18"/>
      <c r="J39" s="27"/>
      <c r="K39" s="18"/>
      <c r="L39" s="18"/>
      <c r="M39" s="160" t="s">
        <v>59</v>
      </c>
      <c r="N39" s="160"/>
      <c r="O39" s="160"/>
      <c r="P39" s="18">
        <v>5</v>
      </c>
      <c r="Q39" s="18"/>
      <c r="R39" s="18"/>
      <c r="S39" s="18"/>
      <c r="T39" s="49"/>
      <c r="U39" s="18"/>
      <c r="V39" s="18"/>
      <c r="W39" s="18"/>
      <c r="X39" s="18"/>
      <c r="Y39" s="18"/>
      <c r="Z39" s="18"/>
      <c r="AA39" s="20"/>
      <c r="AB39" s="68"/>
      <c r="AC39" s="68"/>
    </row>
    <row r="40" spans="2:29" ht="17.5" x14ac:dyDescent="0.35">
      <c r="B40" s="64"/>
      <c r="C40" s="62">
        <v>23</v>
      </c>
      <c r="D40" s="18"/>
      <c r="E40" s="18"/>
      <c r="F40" s="18"/>
      <c r="G40" s="18"/>
      <c r="H40" s="18"/>
      <c r="I40" s="18"/>
      <c r="J40" s="27"/>
      <c r="K40" s="18"/>
      <c r="L40" s="18"/>
      <c r="M40" s="18"/>
      <c r="N40" s="18"/>
      <c r="O40" s="18"/>
      <c r="P40" s="18"/>
      <c r="Q40" s="18"/>
      <c r="R40" s="18"/>
      <c r="S40" s="18"/>
      <c r="T40" s="49"/>
      <c r="U40" s="18"/>
      <c r="V40" s="18"/>
      <c r="W40" s="18"/>
      <c r="X40" s="18"/>
      <c r="Y40" s="18"/>
      <c r="Z40" s="18"/>
      <c r="AA40" s="20"/>
      <c r="AB40" s="68"/>
      <c r="AC40" s="68"/>
    </row>
    <row r="41" spans="2:29" ht="17.5" x14ac:dyDescent="0.35">
      <c r="B41" s="64"/>
      <c r="C41" s="62">
        <v>24</v>
      </c>
      <c r="D41" s="18"/>
      <c r="E41" s="18"/>
      <c r="F41" s="18"/>
      <c r="G41" s="18"/>
      <c r="H41" s="18"/>
      <c r="I41" s="18"/>
      <c r="J41" s="27"/>
      <c r="K41" s="18"/>
      <c r="L41" s="18"/>
      <c r="M41" s="18" t="s">
        <v>60</v>
      </c>
      <c r="N41" s="18"/>
      <c r="O41" s="18"/>
      <c r="P41" s="18"/>
      <c r="Q41" s="18"/>
      <c r="R41" s="18"/>
      <c r="S41" s="18"/>
      <c r="T41" s="49"/>
      <c r="U41" s="18"/>
      <c r="V41" s="18"/>
      <c r="W41" s="18"/>
      <c r="X41" s="18"/>
      <c r="Y41" s="18"/>
      <c r="Z41" s="18"/>
      <c r="AA41" s="20"/>
      <c r="AB41" s="68"/>
      <c r="AC41" s="68"/>
    </row>
    <row r="42" spans="2:29" ht="18" thickBot="1" x14ac:dyDescent="0.4">
      <c r="B42" s="64"/>
      <c r="C42" s="62">
        <v>25</v>
      </c>
      <c r="D42" s="18"/>
      <c r="E42" s="18"/>
      <c r="F42" s="18"/>
      <c r="G42" s="18"/>
      <c r="H42" s="18"/>
      <c r="I42" s="18"/>
      <c r="J42" s="27"/>
      <c r="K42" s="18"/>
      <c r="L42" s="18"/>
      <c r="M42" s="18"/>
      <c r="N42" s="18"/>
      <c r="O42" s="18"/>
      <c r="P42" s="18"/>
      <c r="Q42" s="18"/>
      <c r="R42" s="18"/>
      <c r="S42" s="18"/>
      <c r="T42" s="49"/>
      <c r="U42" s="18"/>
      <c r="V42" s="18"/>
      <c r="W42" s="18"/>
      <c r="X42" s="18"/>
      <c r="Y42" s="18"/>
      <c r="Z42" s="18"/>
      <c r="AA42" s="20"/>
      <c r="AB42" s="68"/>
      <c r="AC42" s="68"/>
    </row>
    <row r="43" spans="2:29" ht="18" thickBot="1" x14ac:dyDescent="0.4">
      <c r="B43" s="64"/>
      <c r="C43" s="62">
        <v>26</v>
      </c>
      <c r="D43" s="18"/>
      <c r="E43" s="18"/>
      <c r="F43" s="18"/>
      <c r="G43" s="18"/>
      <c r="H43" s="18"/>
      <c r="I43" s="18"/>
      <c r="J43" s="27"/>
      <c r="K43" s="18"/>
      <c r="L43" s="18"/>
      <c r="M43" s="162" t="s">
        <v>61</v>
      </c>
      <c r="N43" s="163"/>
      <c r="O43" s="164"/>
      <c r="P43" s="60">
        <f>FV(L30,P39,-M8,0,0)</f>
        <v>0</v>
      </c>
      <c r="Q43" s="18"/>
      <c r="R43" s="18"/>
      <c r="S43" s="18"/>
      <c r="T43" s="49"/>
      <c r="U43" s="18"/>
      <c r="V43" s="18"/>
      <c r="W43" s="18"/>
      <c r="X43" s="18"/>
      <c r="Y43" s="18"/>
      <c r="Z43" s="18"/>
      <c r="AA43" s="20"/>
      <c r="AB43" s="68"/>
      <c r="AC43" s="68"/>
    </row>
    <row r="44" spans="2:29" ht="18" thickBot="1" x14ac:dyDescent="0.4">
      <c r="B44" s="64"/>
      <c r="C44" s="62">
        <v>27</v>
      </c>
      <c r="D44" s="18"/>
      <c r="E44" s="18"/>
      <c r="F44" s="18"/>
      <c r="G44" s="18"/>
      <c r="H44" s="18"/>
      <c r="I44" s="18"/>
      <c r="J44" s="27"/>
      <c r="K44" s="18"/>
      <c r="L44" s="18"/>
      <c r="M44" s="162" t="s">
        <v>62</v>
      </c>
      <c r="N44" s="163"/>
      <c r="O44" s="164"/>
      <c r="P44" s="60">
        <f>1.05*M8*P39</f>
        <v>0</v>
      </c>
      <c r="Q44" s="18"/>
      <c r="R44" s="18"/>
      <c r="S44" s="18"/>
      <c r="T44" s="49"/>
      <c r="U44" s="18"/>
      <c r="V44" s="18"/>
      <c r="W44" s="18"/>
      <c r="X44" s="18"/>
      <c r="Y44" s="18"/>
      <c r="Z44" s="18"/>
      <c r="AA44" s="20"/>
      <c r="AB44" s="68"/>
      <c r="AC44" s="68"/>
    </row>
    <row r="45" spans="2:29" ht="18" thickBot="1" x14ac:dyDescent="0.4">
      <c r="B45" s="64"/>
      <c r="C45" s="62">
        <v>28</v>
      </c>
      <c r="D45" s="18"/>
      <c r="E45" s="18"/>
      <c r="F45" s="18"/>
      <c r="G45" s="18"/>
      <c r="H45" s="18"/>
      <c r="I45" s="18"/>
      <c r="J45" s="27"/>
      <c r="K45" s="18"/>
      <c r="L45" s="18"/>
      <c r="M45" s="162" t="s">
        <v>63</v>
      </c>
      <c r="N45" s="163"/>
      <c r="O45" s="164"/>
      <c r="P45" s="61">
        <f>MAX(P43:P44)</f>
        <v>0</v>
      </c>
      <c r="Q45" s="18"/>
      <c r="R45" s="18"/>
      <c r="S45" s="18"/>
      <c r="T45" s="49"/>
      <c r="U45" s="18"/>
      <c r="V45" s="18"/>
      <c r="W45" s="18"/>
      <c r="X45" s="18"/>
      <c r="Y45" s="18"/>
      <c r="Z45" s="18"/>
      <c r="AA45" s="20"/>
      <c r="AB45" s="68"/>
      <c r="AC45" s="68"/>
    </row>
    <row r="46" spans="2:29" ht="18" thickBot="1" x14ac:dyDescent="0.4">
      <c r="B46" s="64"/>
      <c r="C46" s="62">
        <v>29</v>
      </c>
      <c r="D46" s="18"/>
      <c r="E46" s="18"/>
      <c r="F46" s="18"/>
      <c r="G46" s="18"/>
      <c r="H46" s="18"/>
      <c r="I46" s="18"/>
      <c r="J46" s="51"/>
      <c r="K46" s="59"/>
      <c r="L46" s="59"/>
      <c r="M46" s="22"/>
      <c r="N46" s="22"/>
      <c r="O46" s="22"/>
      <c r="P46" s="22"/>
      <c r="Q46" s="59"/>
      <c r="R46" s="59"/>
      <c r="S46" s="59"/>
      <c r="T46" s="52"/>
      <c r="U46" s="18"/>
      <c r="V46" s="18"/>
      <c r="W46" s="18"/>
      <c r="X46" s="18"/>
      <c r="Y46" s="18"/>
      <c r="Z46" s="18"/>
      <c r="AA46" s="20"/>
      <c r="AB46" s="68"/>
      <c r="AC46" s="68"/>
    </row>
    <row r="47" spans="2:29" ht="18" thickBot="1" x14ac:dyDescent="0.4">
      <c r="B47" s="65"/>
      <c r="C47" s="66">
        <v>30</v>
      </c>
      <c r="D47" s="36"/>
      <c r="E47" s="36"/>
      <c r="F47" s="36"/>
      <c r="G47" s="36"/>
      <c r="H47" s="36"/>
      <c r="I47" s="36"/>
      <c r="J47" s="36"/>
      <c r="K47" s="36"/>
      <c r="L47" s="36"/>
      <c r="M47" s="36"/>
      <c r="N47" s="36"/>
      <c r="O47" s="36"/>
      <c r="P47" s="36"/>
      <c r="Q47" s="36"/>
      <c r="R47" s="36"/>
      <c r="S47" s="36"/>
      <c r="T47" s="36"/>
      <c r="U47" s="36"/>
      <c r="V47" s="36"/>
      <c r="W47" s="36"/>
      <c r="X47" s="36"/>
      <c r="Y47" s="36"/>
      <c r="Z47" s="36"/>
      <c r="AA47" s="37"/>
      <c r="AB47" s="68"/>
      <c r="AC47" s="68"/>
    </row>
    <row r="48" spans="2:29" s="67" customFormat="1" ht="17.5" x14ac:dyDescent="0.35">
      <c r="E48" s="68"/>
      <c r="F48" s="68"/>
      <c r="G48" s="68"/>
      <c r="H48" s="68"/>
      <c r="I48" s="68"/>
      <c r="J48" s="68"/>
      <c r="K48" s="68"/>
      <c r="L48" s="68"/>
      <c r="M48" s="68"/>
      <c r="N48" s="68"/>
      <c r="O48" s="68"/>
      <c r="P48" s="68"/>
      <c r="Q48" s="68"/>
      <c r="R48" s="68"/>
      <c r="S48" s="68"/>
      <c r="T48" s="68"/>
      <c r="U48" s="68"/>
      <c r="V48" s="68"/>
      <c r="W48" s="68"/>
      <c r="X48" s="68"/>
      <c r="Y48" s="68"/>
      <c r="Z48" s="68"/>
      <c r="AA48" s="68"/>
      <c r="AB48" s="68"/>
      <c r="AC48" s="68"/>
    </row>
    <row r="49" spans="2:29" s="67" customFormat="1" ht="17.5" x14ac:dyDescent="0.35">
      <c r="E49" s="68"/>
      <c r="F49" s="68"/>
      <c r="G49" s="68"/>
      <c r="H49" s="68"/>
      <c r="I49" s="68"/>
      <c r="J49" s="68"/>
      <c r="K49" s="68"/>
      <c r="L49" s="68"/>
      <c r="M49" s="68"/>
      <c r="N49" s="68"/>
      <c r="O49" s="68"/>
      <c r="P49" s="68"/>
      <c r="Q49" s="68"/>
      <c r="R49" s="68"/>
      <c r="S49" s="68"/>
      <c r="T49" s="68"/>
      <c r="U49" s="68"/>
      <c r="V49" s="68"/>
      <c r="W49" s="68"/>
      <c r="X49" s="68"/>
      <c r="Y49" s="68"/>
      <c r="Z49" s="68"/>
      <c r="AA49" s="68"/>
      <c r="AB49" s="68"/>
      <c r="AC49" s="68"/>
    </row>
    <row r="50" spans="2:29" s="67" customFormat="1" ht="17.5" x14ac:dyDescent="0.35">
      <c r="E50" s="68"/>
      <c r="F50" s="68"/>
      <c r="G50" s="68"/>
      <c r="H50" s="68"/>
      <c r="I50" s="68"/>
      <c r="J50" s="68"/>
      <c r="K50" s="68"/>
      <c r="L50" s="68"/>
      <c r="M50" s="68"/>
      <c r="N50" s="68"/>
      <c r="O50" s="68"/>
      <c r="P50" s="68"/>
      <c r="Q50" s="68"/>
      <c r="R50" s="68"/>
      <c r="S50" s="68"/>
      <c r="T50" s="68"/>
      <c r="U50" s="68"/>
      <c r="V50" s="68"/>
      <c r="W50" s="68"/>
      <c r="X50" s="68"/>
      <c r="Y50" s="68"/>
      <c r="Z50" s="68"/>
      <c r="AA50" s="68"/>
      <c r="AB50" s="68"/>
      <c r="AC50" s="68"/>
    </row>
    <row r="51" spans="2:29" s="67" customFormat="1" ht="17.5" x14ac:dyDescent="0.35">
      <c r="B51" s="68"/>
      <c r="C51" s="68"/>
      <c r="D51" s="68"/>
      <c r="E51" s="68"/>
      <c r="F51" s="68"/>
      <c r="G51" s="68"/>
      <c r="H51" s="68"/>
      <c r="I51" s="68"/>
      <c r="J51" s="68"/>
      <c r="K51" s="68"/>
      <c r="L51" s="68"/>
      <c r="M51" s="68"/>
      <c r="N51" s="68"/>
      <c r="O51" s="68"/>
      <c r="P51" s="68"/>
      <c r="Q51" s="68"/>
      <c r="R51" s="68"/>
      <c r="S51" s="68"/>
      <c r="T51" s="68"/>
      <c r="U51" s="68"/>
      <c r="V51" s="68"/>
      <c r="W51" s="68"/>
      <c r="X51" s="68"/>
      <c r="Y51" s="68"/>
      <c r="Z51" s="68"/>
      <c r="AA51" s="68"/>
      <c r="AB51" s="68"/>
      <c r="AC51" s="68"/>
    </row>
    <row r="52" spans="2:29" s="67" customFormat="1" x14ac:dyDescent="0.3"/>
    <row r="53" spans="2:29" s="67" customFormat="1" x14ac:dyDescent="0.3"/>
    <row r="54" spans="2:29" s="67" customFormat="1" x14ac:dyDescent="0.3"/>
    <row r="55" spans="2:29" s="67" customFormat="1" x14ac:dyDescent="0.3"/>
    <row r="56" spans="2:29" s="67" customFormat="1" x14ac:dyDescent="0.3"/>
    <row r="57" spans="2:29" s="67" customFormat="1" x14ac:dyDescent="0.3"/>
    <row r="58" spans="2:29" s="67" customFormat="1" x14ac:dyDescent="0.3"/>
    <row r="59" spans="2:29" s="67" customFormat="1" x14ac:dyDescent="0.3"/>
    <row r="60" spans="2:29" s="67" customFormat="1" x14ac:dyDescent="0.3"/>
    <row r="61" spans="2:29" s="67" customFormat="1" x14ac:dyDescent="0.3"/>
    <row r="62" spans="2:29" s="67" customFormat="1" x14ac:dyDescent="0.3"/>
    <row r="63" spans="2:29" s="67" customFormat="1" x14ac:dyDescent="0.3"/>
    <row r="64" spans="2:29" s="67" customFormat="1" x14ac:dyDescent="0.3"/>
    <row r="65" s="67" customFormat="1" x14ac:dyDescent="0.3"/>
    <row r="66" s="67" customFormat="1" x14ac:dyDescent="0.3"/>
    <row r="67" s="67" customFormat="1" x14ac:dyDescent="0.3"/>
    <row r="68" s="67" customFormat="1" x14ac:dyDescent="0.3"/>
    <row r="69" s="67" customFormat="1" x14ac:dyDescent="0.3"/>
    <row r="70" s="67" customFormat="1" x14ac:dyDescent="0.3"/>
    <row r="71" s="67" customFormat="1" x14ac:dyDescent="0.3"/>
    <row r="72" s="67" customFormat="1" x14ac:dyDescent="0.3"/>
    <row r="73" s="67" customFormat="1" x14ac:dyDescent="0.3"/>
    <row r="74" s="67" customFormat="1" x14ac:dyDescent="0.3"/>
  </sheetData>
  <mergeCells count="28">
    <mergeCell ref="M44:O44"/>
    <mergeCell ref="M45:O45"/>
    <mergeCell ref="C21:E21"/>
    <mergeCell ref="J30:K30"/>
    <mergeCell ref="J32:K32"/>
    <mergeCell ref="O30:P30"/>
    <mergeCell ref="O32:P32"/>
    <mergeCell ref="O27:P27"/>
    <mergeCell ref="J37:T37"/>
    <mergeCell ref="O28:P28"/>
    <mergeCell ref="J24:T24"/>
    <mergeCell ref="J25:M25"/>
    <mergeCell ref="O25:T25"/>
    <mergeCell ref="M39:O39"/>
    <mergeCell ref="M43:O43"/>
    <mergeCell ref="H2:U5"/>
    <mergeCell ref="J8:L8"/>
    <mergeCell ref="J17:L17"/>
    <mergeCell ref="J18:K18"/>
    <mergeCell ref="C8:D8"/>
    <mergeCell ref="C10:D10"/>
    <mergeCell ref="C14:D14"/>
    <mergeCell ref="C12:D12"/>
    <mergeCell ref="C17:E19"/>
    <mergeCell ref="J19:K19"/>
    <mergeCell ref="J11:L11"/>
    <mergeCell ref="J13:L13"/>
    <mergeCell ref="J15:L15"/>
  </mergeCells>
  <conditionalFormatting sqref="E8">
    <cfRule type="beginsWith" dxfId="15" priority="8" operator="beginsWith" text="M">
      <formula>LEFT(E8,LEN("M"))="M"</formula>
    </cfRule>
    <cfRule type="beginsWith" dxfId="14" priority="9" operator="beginsWith" text="F">
      <formula>LEFT(E8,LEN("F"))="F"</formula>
    </cfRule>
  </conditionalFormatting>
  <conditionalFormatting sqref="M11">
    <cfRule type="containsText" dxfId="13" priority="4" operator="containsText" text="Conservative">
      <formula>NOT(ISERROR(SEARCH("Conservative",M11)))</formula>
    </cfRule>
    <cfRule type="containsText" dxfId="12" priority="5" operator="containsText" text="Balanced">
      <formula>NOT(ISERROR(SEARCH("Balanced",M11)))</formula>
    </cfRule>
    <cfRule type="containsText" dxfId="11" priority="6" operator="containsText" text="Aggressive">
      <formula>NOT(ISERROR(SEARCH("Aggressive",M11)))</formula>
    </cfRule>
  </conditionalFormatting>
  <conditionalFormatting sqref="P10">
    <cfRule type="containsText" dxfId="10" priority="1" operator="containsText" text="Conservative">
      <formula>NOT(ISERROR(SEARCH("Conservative",P10)))</formula>
    </cfRule>
    <cfRule type="containsText" dxfId="9" priority="2" operator="containsText" text="Balanced">
      <formula>NOT(ISERROR(SEARCH("Balanced",P10)))</formula>
    </cfRule>
    <cfRule type="containsText" dxfId="8" priority="3" operator="containsText" text="Aggressive">
      <formula>NOT(ISERROR(SEARCH("Aggressive",P10)))</formula>
    </cfRule>
  </conditionalFormatting>
  <dataValidations count="8">
    <dataValidation type="whole" operator="lessThan" allowBlank="1" showInputMessage="1" showErrorMessage="1" prompt="Input Number of Years of Policy Completed at Death_x000a_" sqref="P39" xr:uid="{00000000-0002-0000-0200-000000000000}">
      <formula1>M13</formula1>
    </dataValidation>
    <dataValidation type="list" allowBlank="1" showInputMessage="1" showErrorMessage="1" sqref="C25" xr:uid="{00000000-0002-0000-0200-000001000000}">
      <formula1>$B$2:$B$3</formula1>
    </dataValidation>
    <dataValidation type="whole" operator="lessThan" allowBlank="1" showInputMessage="1" showErrorMessage="1" error="Maximum Age For this Plan is 60 years" prompt="Maxium Age is 60 yrs_x000a_" sqref="E10" xr:uid="{00000000-0002-0000-0200-000002000000}">
      <formula1>61</formula1>
    </dataValidation>
    <dataValidation type="whole" operator="greaterThan" allowBlank="1" showInputMessage="1" showErrorMessage="1" error="Minimum Investment should be 30,000 p.a._x000a__x000a_" prompt="Value Greater than 30000" sqref="M8" xr:uid="{00000000-0002-0000-0200-000003000000}">
      <formula1>30000</formula1>
    </dataValidation>
    <dataValidation type="whole" operator="greaterThan" allowBlank="1" showInputMessage="1" showErrorMessage="1" sqref="G11" xr:uid="{00000000-0002-0000-0200-000004000000}">
      <formula1>30000</formula1>
    </dataValidation>
    <dataValidation type="list" allowBlank="1" showInputMessage="1" showErrorMessage="1" sqref="Q27" xr:uid="{00000000-0002-0000-0200-000005000000}">
      <formula1>$E$27:$E$36</formula1>
    </dataValidation>
    <dataValidation type="list" allowBlank="1" showInputMessage="1" showErrorMessage="1" sqref="E8" xr:uid="{00000000-0002-0000-0200-000006000000}">
      <formula1>$C$24:$C$25</formula1>
    </dataValidation>
    <dataValidation type="list" allowBlank="1" showInputMessage="1" showErrorMessage="1" error="Policy term is between 10-30 years" prompt="Between 10 to 30 years_x000a_" sqref="M13" xr:uid="{00000000-0002-0000-0200-000007000000}">
      <formula1>$C$27:$C$47</formula1>
    </dataValidation>
  </dataValidations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Option Button 1">
              <controlPr defaultSize="0" autoFill="0" autoLine="0" autoPict="0">
                <anchor>
                  <from>
                    <xdr:col>5</xdr:col>
                    <xdr:colOff>234950</xdr:colOff>
                    <xdr:row>16</xdr:row>
                    <xdr:rowOff>12700</xdr:rowOff>
                  </from>
                  <to>
                    <xdr:col>6</xdr:col>
                    <xdr:colOff>723900</xdr:colOff>
                    <xdr:row>17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Option Button 2">
              <controlPr defaultSize="0" autoFill="0" autoLine="0" autoPict="0">
                <anchor>
                  <from>
                    <xdr:col>5</xdr:col>
                    <xdr:colOff>234950</xdr:colOff>
                    <xdr:row>17</xdr:row>
                    <xdr:rowOff>25400</xdr:rowOff>
                  </from>
                  <to>
                    <xdr:col>6</xdr:col>
                    <xdr:colOff>717550</xdr:colOff>
                    <xdr:row>18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Option Button 3">
              <controlPr defaultSize="0" autoFill="0" autoLine="0" autoPict="0">
                <anchor>
                  <from>
                    <xdr:col>5</xdr:col>
                    <xdr:colOff>234950</xdr:colOff>
                    <xdr:row>17</xdr:row>
                    <xdr:rowOff>215900</xdr:rowOff>
                  </from>
                  <to>
                    <xdr:col>6</xdr:col>
                    <xdr:colOff>755650</xdr:colOff>
                    <xdr:row>18</xdr:row>
                    <xdr:rowOff>215900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7" id="{37CE12ED-AE94-4C80-BB5C-B7A7EAD81C66}">
            <x14:iconSet custom="1">
              <x14:cfvo type="percent">
                <xm:f>0</xm:f>
              </x14:cfvo>
              <x14:cfvo type="num" gte="0">
                <xm:f>20</xm:f>
              </x14:cfvo>
              <x14:cfvo type="num" gte="0">
                <xm:f>40</xm:f>
              </x14:cfvo>
              <x14:cfIcon iconSet="5Rating" iconId="2"/>
              <x14:cfIcon iconSet="5Rating" iconId="3"/>
              <x14:cfIcon iconSet="5Rating" iconId="4"/>
            </x14:iconSet>
          </x14:cfRule>
          <xm:sqref>E10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AH69"/>
  <sheetViews>
    <sheetView zoomScale="67" workbookViewId="0">
      <selection activeCell="G11" sqref="G11"/>
    </sheetView>
  </sheetViews>
  <sheetFormatPr defaultColWidth="8.90625" defaultRowHeight="20" x14ac:dyDescent="0.4"/>
  <cols>
    <col min="1" max="2" width="8.90625" style="105"/>
    <col min="3" max="3" width="8.90625" style="69"/>
    <col min="4" max="4" width="47.36328125" style="69" customWidth="1"/>
    <col min="5" max="5" width="28.26953125" style="69" bestFit="1" customWidth="1"/>
    <col min="6" max="6" width="8.90625" style="69"/>
    <col min="7" max="7" width="8.90625" style="105"/>
    <col min="8" max="8" width="30.1796875" style="69" bestFit="1" customWidth="1"/>
    <col min="9" max="9" width="12.453125" style="69" bestFit="1" customWidth="1"/>
    <col min="10" max="10" width="9" style="69" bestFit="1" customWidth="1"/>
    <col min="11" max="11" width="10.6328125" style="69" bestFit="1" customWidth="1"/>
    <col min="12" max="12" width="22.54296875" style="69" bestFit="1" customWidth="1"/>
    <col min="13" max="13" width="31.1796875" style="69" bestFit="1" customWidth="1"/>
    <col min="14" max="14" width="8.90625" style="69"/>
    <col min="15" max="15" width="30.6328125" style="69" bestFit="1" customWidth="1"/>
    <col min="16" max="16" width="5.90625" style="69" bestFit="1" customWidth="1"/>
    <col min="17" max="17" width="5.90625" style="105" bestFit="1" customWidth="1"/>
    <col min="18" max="18" width="29.453125" style="105" bestFit="1" customWidth="1"/>
    <col min="19" max="20" width="8.90625" style="105"/>
    <col min="21" max="21" width="29.08984375" style="105" bestFit="1" customWidth="1"/>
    <col min="22" max="22" width="5.6328125" style="105" bestFit="1" customWidth="1"/>
    <col min="23" max="34" width="8.90625" style="105"/>
    <col min="35" max="16384" width="8.90625" style="69"/>
  </cols>
  <sheetData>
    <row r="1" spans="3:16" s="105" customFormat="1" ht="25" customHeight="1" thickBot="1" x14ac:dyDescent="0.45"/>
    <row r="2" spans="3:16" ht="25" customHeight="1" x14ac:dyDescent="0.4">
      <c r="C2" s="194" t="s">
        <v>118</v>
      </c>
      <c r="D2" s="195"/>
      <c r="E2" s="195"/>
      <c r="F2" s="196"/>
      <c r="H2" s="83" t="s">
        <v>116</v>
      </c>
      <c r="I2" s="99"/>
      <c r="J2" s="99" t="s">
        <v>115</v>
      </c>
      <c r="K2" s="99" t="s">
        <v>114</v>
      </c>
      <c r="L2" s="99" t="s">
        <v>113</v>
      </c>
      <c r="M2" s="99" t="s">
        <v>112</v>
      </c>
      <c r="N2" s="99"/>
      <c r="O2" s="99" t="s">
        <v>111</v>
      </c>
      <c r="P2" s="85"/>
    </row>
    <row r="3" spans="3:16" ht="25" customHeight="1" x14ac:dyDescent="0.4">
      <c r="C3" s="197"/>
      <c r="D3" s="198"/>
      <c r="E3" s="198"/>
      <c r="F3" s="199"/>
      <c r="H3" s="86" t="s">
        <v>110</v>
      </c>
      <c r="I3" s="76"/>
      <c r="J3" s="76" t="s">
        <v>109</v>
      </c>
      <c r="K3" s="76" t="s">
        <v>108</v>
      </c>
      <c r="L3" s="76" t="s">
        <v>107</v>
      </c>
      <c r="M3" s="76" t="s">
        <v>106</v>
      </c>
      <c r="N3" s="76"/>
      <c r="O3" s="76" t="s">
        <v>105</v>
      </c>
      <c r="P3" s="87"/>
    </row>
    <row r="4" spans="3:16" ht="25" customHeight="1" thickBot="1" x14ac:dyDescent="0.45">
      <c r="C4" s="200"/>
      <c r="D4" s="201"/>
      <c r="E4" s="201"/>
      <c r="F4" s="202"/>
      <c r="H4" s="86" t="s">
        <v>104</v>
      </c>
      <c r="I4" s="76"/>
      <c r="J4" s="76" t="s">
        <v>103</v>
      </c>
      <c r="K4" s="76" t="s">
        <v>102</v>
      </c>
      <c r="L4" s="76" t="s">
        <v>101</v>
      </c>
      <c r="M4" s="76" t="s">
        <v>100</v>
      </c>
      <c r="N4" s="76"/>
      <c r="O4" s="76"/>
      <c r="P4" s="87"/>
    </row>
    <row r="5" spans="3:16" ht="25" customHeight="1" thickBot="1" x14ac:dyDescent="0.45">
      <c r="C5" s="105"/>
      <c r="D5" s="106"/>
      <c r="E5" s="106"/>
      <c r="F5" s="105"/>
      <c r="H5" s="86"/>
      <c r="I5" s="76"/>
      <c r="J5" s="76"/>
      <c r="K5" s="76"/>
      <c r="L5" s="76"/>
      <c r="M5" s="76"/>
      <c r="N5" s="76"/>
      <c r="O5" s="76"/>
      <c r="P5" s="87"/>
    </row>
    <row r="6" spans="3:16" ht="25" customHeight="1" thickBot="1" x14ac:dyDescent="0.45">
      <c r="C6" s="83"/>
      <c r="D6" s="84"/>
      <c r="E6" s="84"/>
      <c r="F6" s="85"/>
      <c r="H6" s="86"/>
      <c r="I6" s="76"/>
      <c r="J6" s="76"/>
      <c r="K6" s="76"/>
      <c r="L6" s="76"/>
      <c r="M6" s="76"/>
      <c r="N6" s="76"/>
      <c r="O6" s="76"/>
      <c r="P6" s="87"/>
    </row>
    <row r="7" spans="3:16" ht="25" customHeight="1" x14ac:dyDescent="0.4">
      <c r="C7" s="86"/>
      <c r="D7" s="70" t="s">
        <v>2</v>
      </c>
      <c r="E7" s="71" t="s">
        <v>75</v>
      </c>
      <c r="F7" s="87"/>
      <c r="H7" s="86" t="s">
        <v>5</v>
      </c>
      <c r="I7" s="76"/>
      <c r="J7" s="76"/>
      <c r="K7" s="76"/>
      <c r="L7" s="76"/>
      <c r="M7" s="76"/>
      <c r="N7" s="76"/>
      <c r="O7" s="76"/>
      <c r="P7" s="87"/>
    </row>
    <row r="8" spans="3:16" ht="25" customHeight="1" x14ac:dyDescent="0.4">
      <c r="C8" s="86"/>
      <c r="D8" s="72" t="s">
        <v>5</v>
      </c>
      <c r="E8" s="73" t="s">
        <v>99</v>
      </c>
      <c r="F8" s="87"/>
      <c r="H8" s="86" t="s">
        <v>99</v>
      </c>
      <c r="I8" s="100">
        <v>0.01</v>
      </c>
      <c r="J8" s="76"/>
      <c r="K8" s="76"/>
      <c r="L8" s="76" t="s">
        <v>69</v>
      </c>
      <c r="M8" s="76" t="s">
        <v>98</v>
      </c>
      <c r="N8" s="76"/>
      <c r="O8" s="76" t="s">
        <v>97</v>
      </c>
      <c r="P8" s="87"/>
    </row>
    <row r="9" spans="3:16" ht="25" customHeight="1" x14ac:dyDescent="0.4">
      <c r="C9" s="86"/>
      <c r="D9" s="72" t="s">
        <v>73</v>
      </c>
      <c r="E9" s="73" t="s">
        <v>72</v>
      </c>
      <c r="F9" s="87"/>
      <c r="H9" s="86" t="s">
        <v>96</v>
      </c>
      <c r="I9" s="100">
        <v>0.02</v>
      </c>
      <c r="J9" s="76"/>
      <c r="K9" s="76" t="s">
        <v>95</v>
      </c>
      <c r="L9" s="76" t="s">
        <v>94</v>
      </c>
      <c r="M9" s="101">
        <v>0.05</v>
      </c>
      <c r="N9" s="76"/>
      <c r="O9" s="76" t="s">
        <v>94</v>
      </c>
      <c r="P9" s="102">
        <v>0.2</v>
      </c>
    </row>
    <row r="10" spans="3:16" ht="25" customHeight="1" x14ac:dyDescent="0.4">
      <c r="C10" s="86"/>
      <c r="D10" s="72" t="s">
        <v>71</v>
      </c>
      <c r="E10" s="73" t="s">
        <v>6</v>
      </c>
      <c r="F10" s="87"/>
      <c r="H10" s="86" t="s">
        <v>93</v>
      </c>
      <c r="I10" s="100">
        <v>2.2499999999999999E-2</v>
      </c>
      <c r="J10" s="76"/>
      <c r="K10" s="76"/>
      <c r="L10" s="76" t="s">
        <v>68</v>
      </c>
      <c r="M10" s="101">
        <v>0.15</v>
      </c>
      <c r="N10" s="76"/>
      <c r="O10" s="76" t="s">
        <v>68</v>
      </c>
      <c r="P10" s="102">
        <v>0.25</v>
      </c>
    </row>
    <row r="11" spans="3:16" ht="25" customHeight="1" x14ac:dyDescent="0.4">
      <c r="C11" s="86"/>
      <c r="D11" s="72" t="s">
        <v>70</v>
      </c>
      <c r="E11" s="73"/>
      <c r="F11" s="87"/>
      <c r="H11" s="86" t="s">
        <v>74</v>
      </c>
      <c r="I11" s="100">
        <v>2.5000000000000001E-2</v>
      </c>
      <c r="J11" s="76"/>
      <c r="K11" s="76"/>
      <c r="L11" s="76" t="s">
        <v>92</v>
      </c>
      <c r="M11" s="101">
        <v>0.2</v>
      </c>
      <c r="N11" s="76"/>
      <c r="O11" s="76" t="s">
        <v>92</v>
      </c>
      <c r="P11" s="102">
        <v>0.35</v>
      </c>
    </row>
    <row r="12" spans="3:16" ht="25" customHeight="1" x14ac:dyDescent="0.4">
      <c r="C12" s="86"/>
      <c r="D12" s="72" t="s">
        <v>69</v>
      </c>
      <c r="E12" s="73" t="s">
        <v>68</v>
      </c>
      <c r="F12" s="87"/>
      <c r="H12" s="86"/>
      <c r="I12" s="76"/>
      <c r="J12" s="76"/>
      <c r="K12" s="76"/>
      <c r="L12" s="76" t="s">
        <v>91</v>
      </c>
      <c r="M12" s="101">
        <v>0.3</v>
      </c>
      <c r="N12" s="76"/>
      <c r="O12" s="76" t="s">
        <v>91</v>
      </c>
      <c r="P12" s="102">
        <v>0.45</v>
      </c>
    </row>
    <row r="13" spans="3:16" ht="25" customHeight="1" thickBot="1" x14ac:dyDescent="0.45">
      <c r="C13" s="86"/>
      <c r="D13" s="74" t="s">
        <v>67</v>
      </c>
      <c r="E13" s="75" t="s">
        <v>8</v>
      </c>
      <c r="F13" s="87"/>
      <c r="H13" s="86" t="s">
        <v>90</v>
      </c>
      <c r="I13" s="76">
        <v>1500000</v>
      </c>
      <c r="J13" s="76"/>
      <c r="K13" s="76"/>
      <c r="L13" s="76" t="s">
        <v>89</v>
      </c>
      <c r="M13" s="101">
        <v>0.4</v>
      </c>
      <c r="N13" s="76"/>
      <c r="O13" s="76" t="s">
        <v>89</v>
      </c>
      <c r="P13" s="102">
        <v>0.5</v>
      </c>
    </row>
    <row r="14" spans="3:16" ht="25" customHeight="1" x14ac:dyDescent="0.4">
      <c r="C14" s="86"/>
      <c r="D14" s="76"/>
      <c r="E14" s="76"/>
      <c r="F14" s="87"/>
      <c r="H14" s="86" t="s">
        <v>88</v>
      </c>
      <c r="I14" s="76">
        <v>1200000</v>
      </c>
      <c r="J14" s="76"/>
      <c r="K14" s="76"/>
      <c r="L14" s="76" t="s">
        <v>87</v>
      </c>
      <c r="M14" s="101">
        <v>0.5</v>
      </c>
      <c r="N14" s="76"/>
      <c r="O14" s="76" t="s">
        <v>87</v>
      </c>
      <c r="P14" s="102">
        <v>0.55000000000000004</v>
      </c>
    </row>
    <row r="15" spans="3:16" ht="25" customHeight="1" x14ac:dyDescent="0.4">
      <c r="C15" s="86"/>
      <c r="D15" s="76"/>
      <c r="E15" s="76"/>
      <c r="F15" s="87"/>
      <c r="H15" s="86" t="s">
        <v>86</v>
      </c>
      <c r="I15" s="76">
        <v>1100000</v>
      </c>
      <c r="J15" s="76"/>
      <c r="K15" s="76"/>
      <c r="L15" s="76"/>
      <c r="M15" s="76"/>
      <c r="N15" s="76"/>
      <c r="O15" s="76"/>
      <c r="P15" s="87"/>
    </row>
    <row r="16" spans="3:16" ht="25" customHeight="1" thickBot="1" x14ac:dyDescent="0.45">
      <c r="C16" s="86"/>
      <c r="D16" s="77"/>
      <c r="E16" s="78"/>
      <c r="F16" s="87"/>
      <c r="H16" s="86" t="s">
        <v>85</v>
      </c>
      <c r="I16" s="76">
        <v>700000</v>
      </c>
      <c r="J16" s="76"/>
      <c r="K16" s="76"/>
      <c r="L16" s="76"/>
      <c r="M16" s="76"/>
      <c r="N16" s="76"/>
      <c r="O16" s="76"/>
      <c r="P16" s="87"/>
    </row>
    <row r="17" spans="3:16" ht="25" customHeight="1" x14ac:dyDescent="0.4">
      <c r="C17" s="86"/>
      <c r="D17" s="79" t="s">
        <v>66</v>
      </c>
      <c r="E17" s="80" t="s">
        <v>65</v>
      </c>
      <c r="F17" s="87"/>
      <c r="H17" s="86"/>
      <c r="I17" s="76"/>
      <c r="J17" s="76"/>
      <c r="K17" s="76"/>
      <c r="L17" s="76"/>
      <c r="M17" s="76"/>
      <c r="N17" s="76"/>
      <c r="O17" s="76"/>
      <c r="P17" s="87"/>
    </row>
    <row r="18" spans="3:16" ht="25" customHeight="1" thickBot="1" x14ac:dyDescent="0.45">
      <c r="C18" s="86"/>
      <c r="D18" s="81" t="s">
        <v>64</v>
      </c>
      <c r="E18" s="82" t="e">
        <f>#REF!+#REF!-#REF!</f>
        <v>#REF!</v>
      </c>
      <c r="F18" s="87"/>
      <c r="H18" s="86" t="s">
        <v>84</v>
      </c>
      <c r="I18" s="76"/>
      <c r="J18" s="76"/>
      <c r="K18" s="76"/>
      <c r="L18" s="76"/>
      <c r="M18" s="76"/>
      <c r="N18" s="76"/>
      <c r="O18" s="76"/>
      <c r="P18" s="87"/>
    </row>
    <row r="19" spans="3:16" ht="20.5" thickBot="1" x14ac:dyDescent="0.45">
      <c r="C19" s="88"/>
      <c r="D19" s="89"/>
      <c r="E19" s="90"/>
      <c r="F19" s="91"/>
      <c r="H19" s="103" t="s">
        <v>83</v>
      </c>
      <c r="I19" s="95" t="e">
        <f>IF('Motor Insurance'!K6=#REF!,I14,IF('Motor Insurance'!K6=#REF!,#REF!,IF('Motor Insurance'!K6=#REF!,#REF!,#REF!)))</f>
        <v>#REF!</v>
      </c>
      <c r="J19" s="76"/>
      <c r="K19" s="76"/>
      <c r="L19" s="76"/>
      <c r="M19" s="76"/>
      <c r="N19" s="76"/>
      <c r="O19" s="76"/>
      <c r="P19" s="87"/>
    </row>
    <row r="20" spans="3:16" x14ac:dyDescent="0.4">
      <c r="C20" s="105"/>
      <c r="D20" s="105"/>
      <c r="E20" s="105"/>
      <c r="F20" s="105"/>
      <c r="H20" s="86" t="s">
        <v>82</v>
      </c>
      <c r="I20" s="96" t="e">
        <f>IF('Motor Insurance'!#REF!=#REF!,#REF!-(#REF!*#REF!),IF('Motor Insurance'!#REF!=#REF!,#REF!-(#REF!*#REF!),IF('Motor Insurance'!#REF!=#REF!,#REF!-(#REF!*#REF!),IF('Motor Insurance'!#REF!=#REF!,#REF!-(#REF!*#REF!),IF('Motor Insurance'!#REF!=#REF!,#REF!-(#REF!*#REF!),#REF!-(#REF!*#REF!))))))</f>
        <v>#REF!</v>
      </c>
      <c r="J20" s="76"/>
      <c r="K20" s="76"/>
      <c r="L20" s="76"/>
      <c r="M20" s="76"/>
      <c r="N20" s="76"/>
      <c r="O20" s="76"/>
      <c r="P20" s="87"/>
    </row>
    <row r="21" spans="3:16" x14ac:dyDescent="0.4">
      <c r="C21" s="105"/>
      <c r="D21" s="105"/>
      <c r="E21" s="105"/>
      <c r="F21" s="105"/>
      <c r="H21" s="86" t="s">
        <v>81</v>
      </c>
      <c r="I21" s="96" t="e">
        <f>I19-I20</f>
        <v>#REF!</v>
      </c>
      <c r="J21" s="76"/>
      <c r="K21" s="76"/>
      <c r="L21" s="76"/>
      <c r="M21" s="76"/>
      <c r="N21" s="76"/>
      <c r="O21" s="76"/>
      <c r="P21" s="87"/>
    </row>
    <row r="22" spans="3:16" x14ac:dyDescent="0.4">
      <c r="C22" s="105"/>
      <c r="D22" s="105"/>
      <c r="E22" s="105"/>
      <c r="F22" s="105"/>
      <c r="H22" s="86" t="s">
        <v>80</v>
      </c>
      <c r="I22" s="97">
        <f>IF('Motor Insurance'!$E$13="YES",0,CHOOSE(MATCH('Motor Insurance'!$E$12,#REF!,0),#REF!,#REF!,#REF!,#REF!,#REF!,#REF!))</f>
        <v>0</v>
      </c>
      <c r="J22" s="101"/>
      <c r="K22" s="76"/>
      <c r="L22" s="76"/>
      <c r="M22" s="76"/>
      <c r="N22" s="76"/>
      <c r="O22" s="76"/>
      <c r="P22" s="87"/>
    </row>
    <row r="23" spans="3:16" x14ac:dyDescent="0.4">
      <c r="C23" s="105"/>
      <c r="D23" s="105"/>
      <c r="E23" s="105"/>
      <c r="F23" s="105"/>
      <c r="H23" s="86" t="s">
        <v>79</v>
      </c>
      <c r="I23" s="96" t="e">
        <f>I21-(I21*I22)</f>
        <v>#REF!</v>
      </c>
      <c r="J23" s="101"/>
      <c r="K23" s="76"/>
      <c r="L23" s="76"/>
      <c r="M23" s="76"/>
      <c r="N23" s="76"/>
      <c r="O23" s="76"/>
      <c r="P23" s="87"/>
    </row>
    <row r="24" spans="3:16" x14ac:dyDescent="0.4">
      <c r="C24" s="105"/>
      <c r="D24" s="105"/>
      <c r="E24" s="105"/>
      <c r="F24" s="105"/>
      <c r="H24" s="86" t="s">
        <v>78</v>
      </c>
      <c r="I24" s="96" t="e">
        <f>_xlfn.IFS('Motor Insurance'!K5=#REF!,#REF!*#REF!,'Motor Insurance'!K5=#REF!,#REF!*#REF!,'Motor Insurance'!K5=#REF!,#REF!*#REF!,'Motor Insurance'!K5=#REF!,#REF!*#REF!)</f>
        <v>#REF!</v>
      </c>
      <c r="J24" s="76"/>
      <c r="K24" s="76"/>
      <c r="L24" s="76"/>
      <c r="M24" s="76"/>
      <c r="N24" s="76"/>
      <c r="O24" s="76"/>
      <c r="P24" s="87"/>
    </row>
    <row r="25" spans="3:16" x14ac:dyDescent="0.4">
      <c r="C25" s="105"/>
      <c r="D25" s="105"/>
      <c r="E25" s="105"/>
      <c r="F25" s="105"/>
      <c r="H25" s="86" t="s">
        <v>77</v>
      </c>
      <c r="I25" s="96" t="e">
        <f>14%*SUM(I22:I24)</f>
        <v>#REF!</v>
      </c>
      <c r="J25" s="76"/>
      <c r="K25" s="76"/>
      <c r="L25" s="76"/>
      <c r="M25" s="76"/>
      <c r="N25" s="76"/>
      <c r="O25" s="76"/>
      <c r="P25" s="87"/>
    </row>
    <row r="26" spans="3:16" ht="20.5" thickBot="1" x14ac:dyDescent="0.45">
      <c r="C26" s="105"/>
      <c r="D26" s="105"/>
      <c r="E26" s="105"/>
      <c r="F26" s="105"/>
      <c r="H26" s="104" t="s">
        <v>76</v>
      </c>
      <c r="I26" s="98" t="e">
        <f>I23+I24-I25</f>
        <v>#REF!</v>
      </c>
      <c r="J26" s="76"/>
      <c r="K26" s="76"/>
      <c r="L26" s="76"/>
      <c r="M26" s="76"/>
      <c r="N26" s="76"/>
      <c r="O26" s="76"/>
      <c r="P26" s="87"/>
    </row>
    <row r="27" spans="3:16" ht="20.5" thickBot="1" x14ac:dyDescent="0.45">
      <c r="C27" s="105"/>
      <c r="D27" s="105"/>
      <c r="E27" s="105"/>
      <c r="F27" s="105"/>
      <c r="H27" s="88"/>
      <c r="I27" s="89"/>
      <c r="J27" s="89"/>
      <c r="K27" s="89"/>
      <c r="L27" s="89"/>
      <c r="M27" s="89"/>
      <c r="N27" s="89"/>
      <c r="O27" s="89"/>
      <c r="P27" s="91"/>
    </row>
    <row r="28" spans="3:16" s="105" customFormat="1" x14ac:dyDescent="0.4"/>
    <row r="29" spans="3:16" s="105" customFormat="1" x14ac:dyDescent="0.4"/>
    <row r="30" spans="3:16" s="105" customFormat="1" x14ac:dyDescent="0.4"/>
    <row r="31" spans="3:16" s="105" customFormat="1" x14ac:dyDescent="0.4"/>
    <row r="32" spans="3:16" s="105" customFormat="1" x14ac:dyDescent="0.4"/>
    <row r="33" s="105" customFormat="1" x14ac:dyDescent="0.4"/>
    <row r="34" s="105" customFormat="1" x14ac:dyDescent="0.4"/>
    <row r="35" s="105" customFormat="1" x14ac:dyDescent="0.4"/>
    <row r="36" s="105" customFormat="1" x14ac:dyDescent="0.4"/>
    <row r="37" s="105" customFormat="1" x14ac:dyDescent="0.4"/>
    <row r="38" s="105" customFormat="1" x14ac:dyDescent="0.4"/>
    <row r="39" s="105" customFormat="1" x14ac:dyDescent="0.4"/>
    <row r="40" s="105" customFormat="1" x14ac:dyDescent="0.4"/>
    <row r="41" s="105" customFormat="1" x14ac:dyDescent="0.4"/>
    <row r="42" s="105" customFormat="1" x14ac:dyDescent="0.4"/>
    <row r="43" s="105" customFormat="1" x14ac:dyDescent="0.4"/>
    <row r="44" s="105" customFormat="1" x14ac:dyDescent="0.4"/>
    <row r="45" s="105" customFormat="1" x14ac:dyDescent="0.4"/>
    <row r="46" s="105" customFormat="1" x14ac:dyDescent="0.4"/>
    <row r="47" s="105" customFormat="1" x14ac:dyDescent="0.4"/>
    <row r="48" s="105" customFormat="1" x14ac:dyDescent="0.4"/>
    <row r="49" s="105" customFormat="1" x14ac:dyDescent="0.4"/>
    <row r="50" s="105" customFormat="1" x14ac:dyDescent="0.4"/>
    <row r="51" s="105" customFormat="1" x14ac:dyDescent="0.4"/>
    <row r="52" s="105" customFormat="1" x14ac:dyDescent="0.4"/>
    <row r="53" s="105" customFormat="1" x14ac:dyDescent="0.4"/>
    <row r="54" s="105" customFormat="1" x14ac:dyDescent="0.4"/>
    <row r="55" s="105" customFormat="1" x14ac:dyDescent="0.4"/>
    <row r="56" s="105" customFormat="1" x14ac:dyDescent="0.4"/>
    <row r="57" s="105" customFormat="1" x14ac:dyDescent="0.4"/>
    <row r="58" s="105" customFormat="1" x14ac:dyDescent="0.4"/>
    <row r="59" s="105" customFormat="1" x14ac:dyDescent="0.4"/>
    <row r="60" s="105" customFormat="1" x14ac:dyDescent="0.4"/>
    <row r="61" s="105" customFormat="1" x14ac:dyDescent="0.4"/>
    <row r="62" s="105" customFormat="1" x14ac:dyDescent="0.4"/>
    <row r="63" s="105" customFormat="1" x14ac:dyDescent="0.4"/>
    <row r="64" s="105" customFormat="1" x14ac:dyDescent="0.4"/>
    <row r="65" s="105" customFormat="1" x14ac:dyDescent="0.4"/>
    <row r="66" s="105" customFormat="1" x14ac:dyDescent="0.4"/>
    <row r="67" s="105" customFormat="1" x14ac:dyDescent="0.4"/>
    <row r="68" s="105" customFormat="1" x14ac:dyDescent="0.4"/>
    <row r="69" s="105" customFormat="1" x14ac:dyDescent="0.4"/>
  </sheetData>
  <mergeCells count="1">
    <mergeCell ref="C2:F4"/>
  </mergeCells>
  <dataValidations count="6">
    <dataValidation allowBlank="1" showInputMessage="1" showErrorMessage="1" prompt="Enter Full Name" sqref="E7" xr:uid="{00000000-0002-0000-0300-000000000000}"/>
    <dataValidation type="list" allowBlank="1" showInputMessage="1" showErrorMessage="1" sqref="E13" xr:uid="{00000000-0002-0000-0300-000001000000}">
      <formula1>"Yes, No"</formula1>
    </dataValidation>
    <dataValidation type="list" allowBlank="1" showInputMessage="1" showErrorMessage="1" sqref="E8" xr:uid="{00000000-0002-0000-0300-000002000000}">
      <formula1>Age</formula1>
    </dataValidation>
    <dataValidation type="list" allowBlank="1" showInputMessage="1" showErrorMessage="1" sqref="E10" xr:uid="{00000000-0002-0000-0300-000003000000}">
      <formula1>INDIRECT($E$9)</formula1>
    </dataValidation>
    <dataValidation type="list" allowBlank="1" showInputMessage="1" showErrorMessage="1" errorTitle="Brand not found" error="Brand not found" sqref="E9" xr:uid="{00000000-0002-0000-0300-000004000000}">
      <formula1>Brand</formula1>
    </dataValidation>
    <dataValidation type="list" allowBlank="1" showInputMessage="1" showErrorMessage="1" sqref="E12" xr:uid="{00000000-0002-0000-0300-000005000000}">
      <formula1>#REF!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Drop Down 1">
              <controlPr defaultSize="0" autoLine="0" autoPict="0">
                <anchor moveWithCells="1">
                  <from>
                    <xdr:col>4</xdr:col>
                    <xdr:colOff>0</xdr:colOff>
                    <xdr:row>10</xdr:row>
                    <xdr:rowOff>12700</xdr:rowOff>
                  </from>
                  <to>
                    <xdr:col>4</xdr:col>
                    <xdr:colOff>1778000</xdr:colOff>
                    <xdr:row>11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U40"/>
  <sheetViews>
    <sheetView showGridLines="0" tabSelected="1" zoomScale="52" zoomScaleNormal="52" workbookViewId="0">
      <selection activeCell="A19" sqref="A19"/>
    </sheetView>
  </sheetViews>
  <sheetFormatPr defaultRowHeight="15.5" x14ac:dyDescent="0.35"/>
  <cols>
    <col min="1" max="2" width="44" style="207" bestFit="1" customWidth="1"/>
    <col min="3" max="3" width="3.1796875" style="207" customWidth="1"/>
    <col min="4" max="4" width="46.453125" style="207" bestFit="1" customWidth="1"/>
    <col min="5" max="5" width="14.6328125" style="207" customWidth="1"/>
    <col min="6" max="6" width="16" style="207" customWidth="1"/>
    <col min="7" max="7" width="16.453125" style="207" customWidth="1"/>
    <col min="8" max="8" width="20.6328125" style="207" customWidth="1"/>
    <col min="9" max="9" width="16.54296875" style="207" customWidth="1"/>
    <col min="10" max="10" width="3.1796875" style="207" customWidth="1"/>
    <col min="11" max="11" width="23.08984375" style="207" bestFit="1" customWidth="1"/>
    <col min="12" max="12" width="11.08984375" style="207" customWidth="1"/>
    <col min="13" max="13" width="17.90625" style="207" customWidth="1"/>
    <col min="14" max="14" width="19.1796875" style="207" customWidth="1"/>
    <col min="15" max="15" width="11.90625" style="207" customWidth="1"/>
    <col min="16" max="16" width="3.453125" style="207" customWidth="1"/>
    <col min="17" max="17" width="16.36328125" style="207" bestFit="1" customWidth="1"/>
    <col min="18" max="18" width="9" style="207" bestFit="1" customWidth="1"/>
    <col min="19" max="19" width="12.26953125" style="207" bestFit="1" customWidth="1"/>
    <col min="20" max="20" width="8.7265625" style="207"/>
    <col min="21" max="21" width="3.7265625" style="207" customWidth="1"/>
    <col min="22" max="16384" width="8.7265625" style="207"/>
  </cols>
  <sheetData>
    <row r="1" spans="1:21" ht="35" customHeight="1" thickBot="1" x14ac:dyDescent="0.4">
      <c r="A1" s="203" t="s">
        <v>119</v>
      </c>
      <c r="B1" s="204"/>
      <c r="C1" s="204"/>
      <c r="D1" s="204"/>
      <c r="E1" s="204"/>
      <c r="F1" s="204"/>
      <c r="G1" s="204"/>
      <c r="H1" s="204"/>
      <c r="I1" s="204"/>
      <c r="J1" s="204"/>
      <c r="K1" s="204"/>
      <c r="L1" s="204"/>
      <c r="M1" s="204"/>
      <c r="N1" s="204"/>
      <c r="O1" s="204"/>
      <c r="P1" s="204"/>
      <c r="Q1" s="204"/>
      <c r="R1" s="204"/>
      <c r="S1" s="204"/>
      <c r="T1" s="205"/>
      <c r="U1" s="206"/>
    </row>
    <row r="2" spans="1:21" ht="16" thickBot="1" x14ac:dyDescent="0.4">
      <c r="U2" s="206"/>
    </row>
    <row r="3" spans="1:21" ht="18.5" thickBot="1" x14ac:dyDescent="0.45">
      <c r="A3" s="208" t="s">
        <v>120</v>
      </c>
      <c r="B3" s="209"/>
      <c r="C3" s="210"/>
      <c r="D3" s="209" t="s">
        <v>121</v>
      </c>
      <c r="E3" s="209"/>
      <c r="F3" s="209"/>
      <c r="G3" s="209"/>
      <c r="H3" s="209"/>
      <c r="I3" s="211"/>
      <c r="J3" s="212"/>
      <c r="K3" s="209" t="s">
        <v>122</v>
      </c>
      <c r="L3" s="209"/>
      <c r="M3" s="209"/>
      <c r="N3" s="209"/>
      <c r="O3" s="211"/>
      <c r="P3" s="210"/>
      <c r="Q3" s="209" t="s">
        <v>52</v>
      </c>
      <c r="R3" s="209"/>
      <c r="S3" s="209"/>
      <c r="T3" s="213"/>
      <c r="U3" s="206"/>
    </row>
    <row r="4" spans="1:21" x14ac:dyDescent="0.35">
      <c r="A4" s="214"/>
      <c r="C4" s="206"/>
      <c r="D4" s="214"/>
      <c r="J4" s="206"/>
      <c r="P4" s="206"/>
      <c r="U4" s="206"/>
    </row>
    <row r="5" spans="1:21" ht="17" x14ac:dyDescent="0.4">
      <c r="A5" s="215" t="s">
        <v>123</v>
      </c>
      <c r="B5" s="216"/>
      <c r="C5" s="206"/>
      <c r="D5" s="217" t="str">
        <f>IF(B15=A37,A37,IF(B15=A38,A38,IF(B15=A39,A39,"Not Applicable")))</f>
        <v>Building (Structure) and Household articles</v>
      </c>
      <c r="E5" s="218"/>
      <c r="F5" s="218"/>
      <c r="G5" s="218"/>
      <c r="H5" s="218"/>
      <c r="I5" s="218"/>
      <c r="J5" s="206"/>
      <c r="K5" s="218" t="str">
        <f>IF(D5=A38," ","Built-Up Area (sq.ft)")</f>
        <v>Built-Up Area (sq.ft)</v>
      </c>
      <c r="L5" s="218"/>
      <c r="M5" s="218"/>
      <c r="N5" s="218">
        <v>400</v>
      </c>
      <c r="O5" s="218"/>
      <c r="P5" s="206"/>
      <c r="Q5" s="218" t="s">
        <v>124</v>
      </c>
      <c r="R5" s="218"/>
      <c r="S5" s="218">
        <f>N15</f>
        <v>960000</v>
      </c>
      <c r="T5" s="218"/>
      <c r="U5" s="206"/>
    </row>
    <row r="6" spans="1:21" x14ac:dyDescent="0.35">
      <c r="A6" s="219"/>
      <c r="B6" s="220"/>
      <c r="C6" s="206"/>
      <c r="D6" s="221"/>
      <c r="J6" s="206"/>
      <c r="P6" s="206"/>
      <c r="U6" s="206"/>
    </row>
    <row r="7" spans="1:21" x14ac:dyDescent="0.35">
      <c r="A7" s="215" t="s">
        <v>45</v>
      </c>
      <c r="B7" s="216"/>
      <c r="C7" s="206"/>
      <c r="D7" s="222" t="str">
        <f>IF(D5=A37,"Using Income Approach:",IF(D5=A38," ","Using Income Approach:"))</f>
        <v>Using Income Approach:</v>
      </c>
      <c r="E7" s="223" t="str">
        <f>IF($D$5=$A$38," ","Net Operating Income")</f>
        <v>Net Operating Income</v>
      </c>
      <c r="F7" s="224"/>
      <c r="G7" s="224"/>
      <c r="H7" s="218" t="str">
        <f>IF(D5=A38," ","Here,NOI is the rent")</f>
        <v>Here,NOI is the rent</v>
      </c>
      <c r="I7" s="218"/>
      <c r="J7" s="206"/>
      <c r="K7" s="218" t="str">
        <f>IF(D5=A38," ","Re-construction cost (per sq.ft)")</f>
        <v>Re-construction cost (per sq.ft)</v>
      </c>
      <c r="L7" s="218"/>
      <c r="M7" s="218"/>
      <c r="N7" s="218">
        <v>2000</v>
      </c>
      <c r="O7" s="218"/>
      <c r="P7" s="206"/>
      <c r="Q7" s="218" t="s">
        <v>125</v>
      </c>
      <c r="R7" s="218"/>
      <c r="S7" s="218">
        <f>E20</f>
        <v>2187919.4500000002</v>
      </c>
      <c r="T7" s="218"/>
      <c r="U7" s="206"/>
    </row>
    <row r="8" spans="1:21" x14ac:dyDescent="0.35">
      <c r="A8" s="219"/>
      <c r="B8" s="220"/>
      <c r="C8" s="206"/>
      <c r="D8" s="221"/>
      <c r="E8" s="225" t="str">
        <f>IF($D$5=$A$38," ","Capitalization Rate")</f>
        <v>Capitalization Rate</v>
      </c>
      <c r="F8" s="225"/>
      <c r="G8" s="225"/>
      <c r="J8" s="206"/>
      <c r="P8" s="206"/>
      <c r="U8" s="206"/>
    </row>
    <row r="9" spans="1:21" x14ac:dyDescent="0.35">
      <c r="A9" s="215" t="s">
        <v>5</v>
      </c>
      <c r="B9" s="216"/>
      <c r="C9" s="206"/>
      <c r="D9" s="222" t="str">
        <f>IF(D5=A37," ",IF(D5=A38,"Enter Value of Contents",IF(D5=A39,"Enter Value of Contents","Not Applicable")))</f>
        <v>Enter Value of Contents</v>
      </c>
      <c r="E9" s="226">
        <v>400000</v>
      </c>
      <c r="F9" s="227"/>
      <c r="G9" s="228" t="str">
        <f>IF(D5=A38," ","Capitalization Rate = Growth Rate - Inflation Rate")</f>
        <v>Capitalization Rate = Growth Rate - Inflation Rate</v>
      </c>
      <c r="H9" s="228"/>
      <c r="I9" s="228"/>
      <c r="J9" s="206"/>
      <c r="K9" s="218" t="s">
        <v>126</v>
      </c>
      <c r="L9" s="218"/>
      <c r="M9" s="218"/>
      <c r="N9" s="218">
        <f>N5*N7</f>
        <v>800000</v>
      </c>
      <c r="O9" s="218"/>
      <c r="P9" s="206"/>
      <c r="Q9" s="218" t="s">
        <v>127</v>
      </c>
      <c r="R9" s="218"/>
      <c r="S9" s="229">
        <f>MAX(S5,S7)</f>
        <v>2187919.4500000002</v>
      </c>
      <c r="T9" s="218"/>
      <c r="U9" s="206"/>
    </row>
    <row r="10" spans="1:21" x14ac:dyDescent="0.35">
      <c r="A10" s="219"/>
      <c r="B10" s="220"/>
      <c r="C10" s="206"/>
      <c r="D10" s="221"/>
      <c r="J10" s="206"/>
      <c r="P10" s="206"/>
      <c r="U10" s="206"/>
    </row>
    <row r="11" spans="1:21" x14ac:dyDescent="0.35">
      <c r="A11" s="215" t="s">
        <v>128</v>
      </c>
      <c r="B11" s="216"/>
      <c r="C11" s="206"/>
      <c r="D11" s="222" t="str">
        <f>IF(D5=A38," ","Enter Rent Amount (Annually)")</f>
        <v>Enter Rent Amount (Annually)</v>
      </c>
      <c r="E11" s="227">
        <v>70000</v>
      </c>
      <c r="F11" s="218"/>
      <c r="G11" s="218"/>
      <c r="H11" s="218"/>
      <c r="I11" s="218"/>
      <c r="J11" s="206"/>
      <c r="K11" s="218" t="str">
        <f>IF(D5=A37, " ", "Input Value of Contents")</f>
        <v>Input Value of Contents</v>
      </c>
      <c r="L11" s="218"/>
      <c r="M11" s="218"/>
      <c r="N11" s="230">
        <v>400000</v>
      </c>
      <c r="O11" s="218"/>
      <c r="P11" s="206"/>
      <c r="U11" s="206"/>
    </row>
    <row r="12" spans="1:21" x14ac:dyDescent="0.35">
      <c r="A12" s="219"/>
      <c r="B12" s="220"/>
      <c r="C12" s="206"/>
      <c r="D12" s="221"/>
      <c r="E12" s="231"/>
      <c r="J12" s="206"/>
      <c r="P12" s="206"/>
      <c r="U12" s="206"/>
    </row>
    <row r="13" spans="1:21" x14ac:dyDescent="0.35">
      <c r="A13" s="215" t="s">
        <v>129</v>
      </c>
      <c r="B13" s="232"/>
      <c r="C13" s="206"/>
      <c r="D13" s="222" t="s">
        <v>130</v>
      </c>
      <c r="E13" s="218">
        <f>ROUND(E11/(E33-E34),2)</f>
        <v>939597.32</v>
      </c>
      <c r="F13" s="218"/>
      <c r="G13" s="218"/>
      <c r="H13" s="218"/>
      <c r="I13" s="218"/>
      <c r="J13" s="206"/>
      <c r="K13" s="218" t="s">
        <v>131</v>
      </c>
      <c r="L13" s="218"/>
      <c r="M13" s="218"/>
      <c r="N13" s="218">
        <f>N11+N9</f>
        <v>1200000</v>
      </c>
      <c r="O13" s="218"/>
      <c r="P13" s="206"/>
      <c r="U13" s="206"/>
    </row>
    <row r="14" spans="1:21" x14ac:dyDescent="0.35">
      <c r="A14" s="219"/>
      <c r="B14" s="220"/>
      <c r="C14" s="206"/>
      <c r="D14" s="221"/>
      <c r="J14" s="206"/>
      <c r="P14" s="206"/>
      <c r="U14" s="206"/>
    </row>
    <row r="15" spans="1:21" x14ac:dyDescent="0.35">
      <c r="A15" s="215" t="s">
        <v>132</v>
      </c>
      <c r="B15" s="216" t="s">
        <v>133</v>
      </c>
      <c r="C15" s="206"/>
      <c r="D15" s="222" t="s">
        <v>35</v>
      </c>
      <c r="E15" s="218">
        <f>ROUND(IF(E17=1,1.5%*E13,IF(E17=3,2.75%*E13,IF(E17=5,4%*E13,E13*5%)))+E9,2)</f>
        <v>437583.89</v>
      </c>
      <c r="F15" s="218"/>
      <c r="G15" s="218"/>
      <c r="H15" s="218"/>
      <c r="I15" s="218"/>
      <c r="J15" s="206"/>
      <c r="K15" s="218" t="s">
        <v>134</v>
      </c>
      <c r="L15" s="218"/>
      <c r="M15" s="218"/>
      <c r="N15" s="229">
        <f>80%*N13</f>
        <v>960000</v>
      </c>
      <c r="O15" s="218"/>
      <c r="P15" s="206"/>
      <c r="U15" s="206"/>
    </row>
    <row r="16" spans="1:21" x14ac:dyDescent="0.35">
      <c r="C16" s="206"/>
      <c r="D16" s="221"/>
      <c r="J16" s="206"/>
      <c r="P16" s="206"/>
      <c r="U16" s="206"/>
    </row>
    <row r="17" spans="3:21" x14ac:dyDescent="0.35">
      <c r="C17" s="206"/>
      <c r="D17" s="222" t="s">
        <v>135</v>
      </c>
      <c r="E17" s="218">
        <v>5</v>
      </c>
      <c r="F17" s="218"/>
      <c r="G17" s="218"/>
      <c r="H17" s="218"/>
      <c r="I17" s="218"/>
      <c r="J17" s="206"/>
      <c r="P17" s="206"/>
      <c r="U17" s="206"/>
    </row>
    <row r="18" spans="3:21" x14ac:dyDescent="0.35">
      <c r="C18" s="206"/>
      <c r="D18" s="221"/>
      <c r="J18" s="206"/>
      <c r="P18" s="206"/>
      <c r="U18" s="206"/>
    </row>
    <row r="19" spans="3:21" x14ac:dyDescent="0.35">
      <c r="C19" s="206"/>
      <c r="D19" s="221"/>
      <c r="J19" s="206"/>
      <c r="P19" s="206"/>
      <c r="U19" s="206"/>
    </row>
    <row r="20" spans="3:21" x14ac:dyDescent="0.35">
      <c r="C20" s="206"/>
      <c r="D20" s="222" t="s">
        <v>136</v>
      </c>
      <c r="E20" s="218">
        <f>ROUND($E$17*$E$15,2)</f>
        <v>2187919.4500000002</v>
      </c>
      <c r="F20" s="218"/>
      <c r="G20" s="218"/>
      <c r="H20" s="218"/>
      <c r="I20" s="218"/>
      <c r="J20" s="206"/>
      <c r="P20" s="206"/>
      <c r="U20" s="206"/>
    </row>
    <row r="21" spans="3:21" x14ac:dyDescent="0.35">
      <c r="C21" s="206"/>
      <c r="J21" s="206"/>
      <c r="P21" s="206"/>
      <c r="U21" s="206"/>
    </row>
    <row r="22" spans="3:21" x14ac:dyDescent="0.35">
      <c r="C22" s="206"/>
      <c r="J22" s="206"/>
      <c r="P22" s="206"/>
      <c r="U22" s="206"/>
    </row>
    <row r="23" spans="3:21" x14ac:dyDescent="0.35">
      <c r="C23" s="206"/>
      <c r="D23" s="233" t="s">
        <v>137</v>
      </c>
      <c r="E23" s="233"/>
      <c r="F23" s="233"/>
      <c r="G23" s="233"/>
      <c r="H23" s="233"/>
      <c r="I23" s="233"/>
      <c r="J23" s="206"/>
      <c r="P23" s="206"/>
      <c r="U23" s="206"/>
    </row>
    <row r="24" spans="3:21" x14ac:dyDescent="0.35">
      <c r="C24" s="206"/>
      <c r="J24" s="206"/>
      <c r="P24" s="206"/>
      <c r="U24" s="206"/>
    </row>
    <row r="25" spans="3:21" x14ac:dyDescent="0.35">
      <c r="C25" s="206"/>
      <c r="D25" s="234"/>
      <c r="E25" s="235" t="s">
        <v>138</v>
      </c>
      <c r="F25" s="235"/>
      <c r="G25" s="235"/>
      <c r="H25" s="235"/>
      <c r="I25" s="235"/>
      <c r="J25" s="236"/>
      <c r="P25" s="206"/>
      <c r="U25" s="206"/>
    </row>
    <row r="26" spans="3:21" x14ac:dyDescent="0.35">
      <c r="C26" s="206"/>
      <c r="D26" s="237" t="s">
        <v>139</v>
      </c>
      <c r="E26" s="238">
        <f>E13</f>
        <v>939597.32</v>
      </c>
      <c r="F26" s="239">
        <v>9.1999999999999998E-2</v>
      </c>
      <c r="G26" s="240">
        <v>0.10199999999999999</v>
      </c>
      <c r="H26" s="239">
        <v>0.112</v>
      </c>
      <c r="I26" s="241">
        <v>0.122</v>
      </c>
      <c r="J26" s="242"/>
      <c r="P26" s="206"/>
      <c r="U26" s="206"/>
    </row>
    <row r="27" spans="3:21" x14ac:dyDescent="0.35">
      <c r="C27" s="206"/>
      <c r="D27" s="237"/>
      <c r="E27" s="243">
        <v>2.75E-2</v>
      </c>
      <c r="F27" s="244">
        <v>1085271.32</v>
      </c>
      <c r="G27" s="244">
        <v>939597.32</v>
      </c>
      <c r="H27" s="244">
        <v>828402.37</v>
      </c>
      <c r="I27" s="244">
        <v>740740.74</v>
      </c>
      <c r="J27" s="206"/>
      <c r="P27" s="206"/>
      <c r="U27" s="206"/>
    </row>
    <row r="28" spans="3:21" x14ac:dyDescent="0.35">
      <c r="C28" s="206"/>
      <c r="D28" s="237"/>
      <c r="E28" s="243">
        <v>0.03</v>
      </c>
      <c r="F28" s="244">
        <v>1129032.26</v>
      </c>
      <c r="G28" s="244">
        <v>972222.22</v>
      </c>
      <c r="H28" s="244">
        <v>853658.54</v>
      </c>
      <c r="I28" s="244">
        <v>760869.57</v>
      </c>
      <c r="J28" s="206"/>
      <c r="P28" s="206"/>
      <c r="U28" s="206"/>
    </row>
    <row r="29" spans="3:21" x14ac:dyDescent="0.35">
      <c r="C29" s="206"/>
      <c r="D29" s="237"/>
      <c r="E29" s="243">
        <v>3.7499999999999999E-2</v>
      </c>
      <c r="F29" s="244">
        <v>1284403.67</v>
      </c>
      <c r="G29" s="244">
        <v>1085271.32</v>
      </c>
      <c r="H29" s="245">
        <v>939597.32</v>
      </c>
      <c r="I29" s="244">
        <v>828402.37</v>
      </c>
      <c r="J29" s="206"/>
      <c r="P29" s="206"/>
      <c r="U29" s="206"/>
    </row>
    <row r="30" spans="3:21" x14ac:dyDescent="0.35">
      <c r="C30" s="206"/>
      <c r="D30" s="237"/>
      <c r="E30" s="243">
        <v>0.04</v>
      </c>
      <c r="F30" s="244">
        <v>1346153.85</v>
      </c>
      <c r="G30" s="244">
        <v>1129032.26</v>
      </c>
      <c r="H30" s="244">
        <v>972222.22</v>
      </c>
      <c r="I30" s="244">
        <v>853658.54</v>
      </c>
      <c r="J30" s="206"/>
      <c r="P30" s="206"/>
      <c r="U30" s="206"/>
    </row>
    <row r="31" spans="3:21" x14ac:dyDescent="0.35">
      <c r="C31" s="206"/>
      <c r="J31" s="206"/>
      <c r="P31" s="206"/>
      <c r="U31" s="206"/>
    </row>
    <row r="32" spans="3:21" x14ac:dyDescent="0.35">
      <c r="C32" s="206"/>
      <c r="D32" s="246" t="s">
        <v>140</v>
      </c>
      <c r="E32" s="247"/>
      <c r="F32" s="247"/>
      <c r="G32" s="247"/>
      <c r="H32" s="247"/>
      <c r="I32" s="248"/>
      <c r="J32" s="206"/>
      <c r="P32" s="206"/>
      <c r="U32" s="206"/>
    </row>
    <row r="33" spans="1:21" x14ac:dyDescent="0.35">
      <c r="C33" s="206"/>
      <c r="D33" s="249" t="s">
        <v>138</v>
      </c>
      <c r="E33" s="250">
        <v>0.112</v>
      </c>
      <c r="I33" s="221"/>
      <c r="J33" s="206"/>
      <c r="P33" s="206"/>
      <c r="U33" s="206"/>
    </row>
    <row r="34" spans="1:21" x14ac:dyDescent="0.35">
      <c r="C34" s="206"/>
      <c r="D34" s="249" t="s">
        <v>139</v>
      </c>
      <c r="E34" s="250">
        <v>3.7499999999999999E-2</v>
      </c>
      <c r="I34" s="221"/>
      <c r="J34" s="206"/>
      <c r="P34" s="206"/>
      <c r="U34" s="206"/>
    </row>
    <row r="35" spans="1:21" x14ac:dyDescent="0.35">
      <c r="C35" s="206"/>
      <c r="D35" s="249" t="s">
        <v>141</v>
      </c>
      <c r="I35" s="221"/>
      <c r="J35" s="206"/>
      <c r="P35" s="206"/>
      <c r="U35" s="206"/>
    </row>
    <row r="36" spans="1:21" x14ac:dyDescent="0.35">
      <c r="C36" s="206"/>
      <c r="D36" s="251" t="s">
        <v>142</v>
      </c>
      <c r="E36" s="252"/>
      <c r="F36" s="252"/>
      <c r="G36" s="252"/>
      <c r="H36" s="252"/>
      <c r="I36" s="253"/>
      <c r="J36" s="206"/>
      <c r="P36" s="206"/>
      <c r="U36" s="206"/>
    </row>
    <row r="37" spans="1:21" x14ac:dyDescent="0.35">
      <c r="A37" s="207" t="s">
        <v>143</v>
      </c>
      <c r="C37" s="206"/>
      <c r="J37" s="206"/>
      <c r="P37" s="206"/>
      <c r="U37" s="206"/>
    </row>
    <row r="38" spans="1:21" x14ac:dyDescent="0.35">
      <c r="A38" s="207" t="s">
        <v>144</v>
      </c>
      <c r="C38" s="206"/>
      <c r="J38" s="206"/>
      <c r="P38" s="206"/>
      <c r="U38" s="206"/>
    </row>
    <row r="39" spans="1:21" x14ac:dyDescent="0.35">
      <c r="A39" s="207" t="s">
        <v>133</v>
      </c>
      <c r="C39" s="206"/>
      <c r="J39" s="206"/>
      <c r="P39" s="206"/>
      <c r="U39" s="206"/>
    </row>
    <row r="40" spans="1:21" x14ac:dyDescent="0.35">
      <c r="A40" s="206"/>
      <c r="B40" s="206"/>
      <c r="C40" s="206"/>
      <c r="D40" s="206"/>
      <c r="E40" s="206"/>
      <c r="F40" s="206"/>
      <c r="G40" s="206"/>
      <c r="H40" s="206"/>
      <c r="I40" s="206"/>
      <c r="J40" s="206"/>
      <c r="K40" s="206"/>
      <c r="L40" s="206"/>
      <c r="M40" s="206"/>
      <c r="N40" s="206"/>
      <c r="O40" s="206"/>
      <c r="P40" s="206"/>
      <c r="Q40" s="206"/>
      <c r="R40" s="206"/>
      <c r="S40" s="206"/>
      <c r="T40" s="206"/>
      <c r="U40" s="206"/>
    </row>
  </sheetData>
  <mergeCells count="11">
    <mergeCell ref="E8:G8"/>
    <mergeCell ref="G9:I9"/>
    <mergeCell ref="D23:I23"/>
    <mergeCell ref="E25:I25"/>
    <mergeCell ref="D26:D30"/>
    <mergeCell ref="A1:T1"/>
    <mergeCell ref="A3:B3"/>
    <mergeCell ref="D3:H3"/>
    <mergeCell ref="K3:N3"/>
    <mergeCell ref="Q3:T3"/>
    <mergeCell ref="E7:G7"/>
  </mergeCells>
  <conditionalFormatting sqref="E13">
    <cfRule type="expression" dxfId="7" priority="7">
      <formula xml:space="preserve"> IF($E$11&lt;60000,TRUE,FALSE)</formula>
    </cfRule>
    <cfRule type="expression" dxfId="6" priority="8">
      <formula>IF($E$11&lt;60,0)</formula>
    </cfRule>
  </conditionalFormatting>
  <conditionalFormatting sqref="N5">
    <cfRule type="cellIs" dxfId="4" priority="5" operator="greaterThan">
      <formula>15000</formula>
    </cfRule>
    <cfRule type="cellIs" dxfId="5" priority="6" operator="lessThan">
      <formula>400</formula>
    </cfRule>
  </conditionalFormatting>
  <conditionalFormatting sqref="N7">
    <cfRule type="cellIs" dxfId="2" priority="3" operator="lessThan">
      <formula>1000</formula>
    </cfRule>
    <cfRule type="cellIs" dxfId="3" priority="4" operator="greaterThan">
      <formula>10000</formula>
    </cfRule>
  </conditionalFormatting>
  <conditionalFormatting sqref="N11">
    <cfRule type="cellIs" dxfId="0" priority="1" operator="lessThan">
      <formula>400000</formula>
    </cfRule>
    <cfRule type="cellIs" dxfId="1" priority="2" operator="greaterThan">
      <formula>10000000</formula>
    </cfRule>
  </conditionalFormatting>
  <dataValidations count="6">
    <dataValidation allowBlank="1" showInputMessage="1" showErrorMessage="1" prompt="Min 4,00,000, Max 1,00,00,000" sqref="N11" xr:uid="{DE933B1B-3669-4026-9364-85BA1A2E5A8C}"/>
    <dataValidation allowBlank="1" showInputMessage="1" showErrorMessage="1" prompt="Min 1000, Max 10,000" sqref="N7" xr:uid="{3A69C923-594C-4ACA-B179-15F0AC9748EE}"/>
    <dataValidation allowBlank="1" showInputMessage="1" showErrorMessage="1" prompt="Min 400, Max 15,000" sqref="N5:O5" xr:uid="{E06B1714-5629-4497-A45B-98B776B4E94D}"/>
    <dataValidation allowBlank="1" showInputMessage="1" showErrorMessage="1" prompt="Greater than 3,00,000" sqref="E9" xr:uid="{C56F4C76-5337-4299-8AC0-6435E3CC8CF9}"/>
    <dataValidation allowBlank="1" showInputMessage="1" showErrorMessage="1" prompt="Greater than 60,000" sqref="E11" xr:uid="{D609BE7E-28F3-42DA-A849-2D2DAFFC787B}"/>
    <dataValidation type="list" allowBlank="1" showInputMessage="1" showErrorMessage="1" sqref="B15" xr:uid="{4C2F32FB-8670-445C-B1FB-A8D74BDF63D4}">
      <formula1>$A$37:$A$39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Spinner 1">
              <controlPr defaultSize="0" autoPict="0">
                <anchor moveWithCells="1" sizeWithCells="1">
                  <from>
                    <xdr:col>5</xdr:col>
                    <xdr:colOff>107950</xdr:colOff>
                    <xdr:row>15</xdr:row>
                    <xdr:rowOff>190500</xdr:rowOff>
                  </from>
                  <to>
                    <xdr:col>5</xdr:col>
                    <xdr:colOff>552450</xdr:colOff>
                    <xdr:row>18</xdr:row>
                    <xdr:rowOff>196850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Cover Page</vt:lpstr>
      <vt:lpstr>Health Insurance</vt:lpstr>
      <vt:lpstr>Life Insurance</vt:lpstr>
      <vt:lpstr>Motor Insurance</vt:lpstr>
      <vt:lpstr>Home Insurance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Dhriti Malik</cp:lastModifiedBy>
  <dcterms:created xsi:type="dcterms:W3CDTF">2021-02-22T18:56:01Z</dcterms:created>
  <dcterms:modified xsi:type="dcterms:W3CDTF">2021-09-23T14:23:09Z</dcterms:modified>
</cp:coreProperties>
</file>